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/>
  <xr:revisionPtr revIDLastSave="0" documentId="14_{C578DAD5-0C92-4858-A7C0-343BDF369E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strucciones" sheetId="1" r:id="rId1"/>
    <sheet name="Resumen" sheetId="3" r:id="rId2"/>
    <sheet name="Pagos_50_Original" sheetId="2" r:id="rId3"/>
    <sheet name="Pagos_50_Limpio" sheetId="5" r:id="rId4"/>
    <sheet name="Hallazgos" sheetId="6" r:id="rId5"/>
    <sheet name="Solució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B5" i="3"/>
  <c r="I9" i="5"/>
  <c r="B7" i="3" s="1"/>
  <c r="C7" i="3" s="1"/>
  <c r="B4" i="3"/>
  <c r="B8" i="3"/>
  <c r="C8" i="3" s="1"/>
  <c r="I2" i="5"/>
  <c r="I3" i="5"/>
  <c r="I4" i="5"/>
  <c r="I5" i="5"/>
  <c r="I6" i="5"/>
  <c r="I7" i="5"/>
  <c r="I8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G51" i="5"/>
  <c r="H51" i="5" s="1"/>
  <c r="B51" i="5"/>
  <c r="G50" i="5"/>
  <c r="H50" i="5" s="1"/>
  <c r="B50" i="5"/>
  <c r="G49" i="5"/>
  <c r="H49" i="5" s="1"/>
  <c r="B49" i="5"/>
  <c r="G48" i="5"/>
  <c r="H48" i="5" s="1"/>
  <c r="B48" i="5"/>
  <c r="G47" i="5"/>
  <c r="H47" i="5" s="1"/>
  <c r="B47" i="5"/>
  <c r="G46" i="5"/>
  <c r="H46" i="5" s="1"/>
  <c r="B46" i="5"/>
  <c r="G45" i="5"/>
  <c r="H45" i="5" s="1"/>
  <c r="B45" i="5"/>
  <c r="G44" i="5"/>
  <c r="B44" i="5"/>
  <c r="G43" i="5"/>
  <c r="H43" i="5" s="1"/>
  <c r="B43" i="5"/>
  <c r="G42" i="5"/>
  <c r="H42" i="5" s="1"/>
  <c r="B42" i="5"/>
  <c r="G41" i="5"/>
  <c r="H41" i="5" s="1"/>
  <c r="B41" i="5"/>
  <c r="G40" i="5"/>
  <c r="H40" i="5" s="1"/>
  <c r="B40" i="5"/>
  <c r="G39" i="5"/>
  <c r="H39" i="5" s="1"/>
  <c r="B39" i="5"/>
  <c r="G38" i="5"/>
  <c r="H38" i="5" s="1"/>
  <c r="B38" i="5"/>
  <c r="G37" i="5"/>
  <c r="H37" i="5" s="1"/>
  <c r="B37" i="5"/>
  <c r="G36" i="5"/>
  <c r="B36" i="5"/>
  <c r="G35" i="5"/>
  <c r="H35" i="5" s="1"/>
  <c r="B35" i="5"/>
  <c r="G34" i="5"/>
  <c r="H34" i="5" s="1"/>
  <c r="B34" i="5"/>
  <c r="G33" i="5"/>
  <c r="H33" i="5" s="1"/>
  <c r="B33" i="5"/>
  <c r="G32" i="5"/>
  <c r="H32" i="5" s="1"/>
  <c r="B32" i="5"/>
  <c r="G31" i="5"/>
  <c r="H31" i="5" s="1"/>
  <c r="B31" i="5"/>
  <c r="G30" i="5"/>
  <c r="H30" i="5" s="1"/>
  <c r="B30" i="5"/>
  <c r="G29" i="5"/>
  <c r="H29" i="5" s="1"/>
  <c r="B29" i="5"/>
  <c r="G28" i="5"/>
  <c r="H28" i="5" s="1"/>
  <c r="B28" i="5"/>
  <c r="G27" i="5"/>
  <c r="H27" i="5" s="1"/>
  <c r="B27" i="5"/>
  <c r="G26" i="5"/>
  <c r="H26" i="5" s="1"/>
  <c r="B26" i="5"/>
  <c r="G25" i="5"/>
  <c r="H25" i="5" s="1"/>
  <c r="B25" i="5"/>
  <c r="G24" i="5"/>
  <c r="H24" i="5" s="1"/>
  <c r="B24" i="5"/>
  <c r="G23" i="5"/>
  <c r="H23" i="5" s="1"/>
  <c r="B23" i="5"/>
  <c r="G22" i="5"/>
  <c r="H22" i="5" s="1"/>
  <c r="B22" i="5"/>
  <c r="G21" i="5"/>
  <c r="H21" i="5" s="1"/>
  <c r="B21" i="5"/>
  <c r="G20" i="5"/>
  <c r="B20" i="5"/>
  <c r="G19" i="5"/>
  <c r="H19" i="5" s="1"/>
  <c r="B19" i="5"/>
  <c r="G18" i="5"/>
  <c r="H18" i="5" s="1"/>
  <c r="B18" i="5"/>
  <c r="G17" i="5"/>
  <c r="H17" i="5" s="1"/>
  <c r="B17" i="5"/>
  <c r="G16" i="5"/>
  <c r="H16" i="5" s="1"/>
  <c r="B16" i="5"/>
  <c r="G15" i="5"/>
  <c r="H15" i="5" s="1"/>
  <c r="B15" i="5"/>
  <c r="G14" i="5"/>
  <c r="H14" i="5" s="1"/>
  <c r="B14" i="5"/>
  <c r="G13" i="5"/>
  <c r="H13" i="5" s="1"/>
  <c r="B13" i="5"/>
  <c r="G12" i="5"/>
  <c r="B12" i="5"/>
  <c r="G11" i="5"/>
  <c r="H11" i="5" s="1"/>
  <c r="B11" i="5"/>
  <c r="G10" i="5"/>
  <c r="H10" i="5" s="1"/>
  <c r="B10" i="5"/>
  <c r="G9" i="5"/>
  <c r="H9" i="5" s="1"/>
  <c r="B9" i="5"/>
  <c r="G8" i="5"/>
  <c r="H8" i="5" s="1"/>
  <c r="B8" i="5"/>
  <c r="G7" i="5"/>
  <c r="H7" i="5" s="1"/>
  <c r="B7" i="5"/>
  <c r="G6" i="5"/>
  <c r="H6" i="5" s="1"/>
  <c r="B6" i="5"/>
  <c r="G5" i="5"/>
  <c r="H5" i="5" s="1"/>
  <c r="B5" i="5"/>
  <c r="G4" i="5"/>
  <c r="B4" i="5"/>
  <c r="G3" i="5"/>
  <c r="B3" i="5"/>
  <c r="G2" i="5"/>
  <c r="H2" i="5" s="1"/>
  <c r="B2" i="5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B6" i="3" l="1"/>
  <c r="C6" i="3" s="1"/>
  <c r="J8" i="5"/>
  <c r="J24" i="5"/>
  <c r="J32" i="5"/>
  <c r="J40" i="5"/>
  <c r="J48" i="5"/>
  <c r="J16" i="5"/>
  <c r="J22" i="5"/>
  <c r="J30" i="5"/>
  <c r="J38" i="5"/>
  <c r="J46" i="5"/>
  <c r="J7" i="5"/>
  <c r="J39" i="5"/>
  <c r="J47" i="5"/>
  <c r="J31" i="5"/>
  <c r="J6" i="5"/>
  <c r="J23" i="5"/>
  <c r="J15" i="5"/>
  <c r="J9" i="5"/>
  <c r="J17" i="5"/>
  <c r="J21" i="5"/>
  <c r="J29" i="5"/>
  <c r="J37" i="5"/>
  <c r="J49" i="5"/>
  <c r="J14" i="5"/>
  <c r="J5" i="5"/>
  <c r="J13" i="5"/>
  <c r="J25" i="5"/>
  <c r="J33" i="5"/>
  <c r="J41" i="5"/>
  <c r="J45" i="5"/>
  <c r="J28" i="5"/>
  <c r="J51" i="5"/>
  <c r="J43" i="5"/>
  <c r="J35" i="5"/>
  <c r="J27" i="5"/>
  <c r="J19" i="5"/>
  <c r="J11" i="5"/>
  <c r="J50" i="5"/>
  <c r="J42" i="5"/>
  <c r="J34" i="5"/>
  <c r="J26" i="5"/>
  <c r="J18" i="5"/>
  <c r="J10" i="5"/>
  <c r="J2" i="5"/>
  <c r="H44" i="5"/>
  <c r="H36" i="5"/>
  <c r="H20" i="5"/>
  <c r="H12" i="5"/>
  <c r="H3" i="5"/>
  <c r="H4" i="5"/>
  <c r="J20" i="5" l="1"/>
  <c r="J12" i="5"/>
  <c r="J36" i="5"/>
  <c r="J44" i="5"/>
  <c r="J4" i="5"/>
  <c r="J3" i="5"/>
</calcChain>
</file>

<file path=xl/sharedStrings.xml><?xml version="1.0" encoding="utf-8"?>
<sst xmlns="http://schemas.openxmlformats.org/spreadsheetml/2006/main" count="481" uniqueCount="166">
  <si>
    <t>Mini proyecto FinTech 2 — Calidad de datos (50 registros)</t>
  </si>
  <si>
    <t>Objetivo: limpiar textos inconsistentes, validar estatus y generar un reporte de calidad de datos.</t>
  </si>
  <si>
    <t>Paso</t>
  </si>
  <si>
    <t>Actividad</t>
  </si>
  <si>
    <t>Fórmulas que practicarás</t>
  </si>
  <si>
    <t>ESPACIOS</t>
  </si>
  <si>
    <t>ESPACIOS estatus</t>
  </si>
  <si>
    <t>=ESPACIOS(F2)</t>
  </si>
  <si>
    <t>SI + O</t>
  </si>
  <si>
    <t>SI + O monto</t>
  </si>
  <si>
    <t>=SI(O(E2="";E2&lt;=0);"Revisar";"Válido")</t>
  </si>
  <si>
    <t>CONTAR.SI</t>
  </si>
  <si>
    <t>Este ejercicio se parece a Data Quality: no solo importa que la fórmula funcione, sino detectar datos que deben corregirse antes de usarlos en un reporte.</t>
  </si>
  <si>
    <t>ID_Pago</t>
  </si>
  <si>
    <t>Nombre_Capturado</t>
  </si>
  <si>
    <t>Fecha</t>
  </si>
  <si>
    <t>Producto_Financiero</t>
  </si>
  <si>
    <t>Monto</t>
  </si>
  <si>
    <t>Estatus_Capturado</t>
  </si>
  <si>
    <t>Nombre_Limpio</t>
  </si>
  <si>
    <t>Estatus_Limpio</t>
  </si>
  <si>
    <t>Calidad_Estatus</t>
  </si>
  <si>
    <t>Calidad_Monto</t>
  </si>
  <si>
    <t>Comprobación</t>
  </si>
  <si>
    <t>PAY-2026-0001</t>
  </si>
  <si>
    <t>Ana López</t>
  </si>
  <si>
    <t>Tarjeta crédito</t>
  </si>
  <si>
    <t>Rechazada</t>
  </si>
  <si>
    <t>PAY-2026-0002</t>
  </si>
  <si>
    <t>Carlos Ruiz</t>
  </si>
  <si>
    <t>Préstamo personal</t>
  </si>
  <si>
    <t>RECHAZADA</t>
  </si>
  <si>
    <t>PAY-2026-0003</t>
  </si>
  <si>
    <t>María Torres</t>
  </si>
  <si>
    <t>Cuenta digital</t>
  </si>
  <si>
    <t>Aprobada</t>
  </si>
  <si>
    <t>PAY-2026-0004</t>
  </si>
  <si>
    <t>José Pérez</t>
  </si>
  <si>
    <t>Wallet</t>
  </si>
  <si>
    <t>PAY-2026-0005</t>
  </si>
  <si>
    <t>Laura Díaz</t>
  </si>
  <si>
    <t>Cancelada</t>
  </si>
  <si>
    <t>PAY-2026-0006</t>
  </si>
  <si>
    <t>Miguel Soto</t>
  </si>
  <si>
    <t>Pendiente</t>
  </si>
  <si>
    <t>PAY-2026-0007</t>
  </si>
  <si>
    <t>Sofía Ramos</t>
  </si>
  <si>
    <t>pendiente</t>
  </si>
  <si>
    <t>PAY-2026-0008</t>
  </si>
  <si>
    <t>Daniel Cruz</t>
  </si>
  <si>
    <t>PAY-2026-0009</t>
  </si>
  <si>
    <t>PAY-2026-0010</t>
  </si>
  <si>
    <t>PAY-2026-0011</t>
  </si>
  <si>
    <t>PAY-2026-0012</t>
  </si>
  <si>
    <t>PAY-2026-0013</t>
  </si>
  <si>
    <t>PAY-2026-0014</t>
  </si>
  <si>
    <t>PAY-2026-0015</t>
  </si>
  <si>
    <t>PAY-2026-0016</t>
  </si>
  <si>
    <t>PAY-2026-0017</t>
  </si>
  <si>
    <t>PAY-2026-0018</t>
  </si>
  <si>
    <t>PAY-2026-0019</t>
  </si>
  <si>
    <t>PAY-2026-0020</t>
  </si>
  <si>
    <t>PAY-2026-0021</t>
  </si>
  <si>
    <t>PAY-2026-0022</t>
  </si>
  <si>
    <t>PAY-2026-0023</t>
  </si>
  <si>
    <t>PAY-2026-0024</t>
  </si>
  <si>
    <t>PAY-2026-0025</t>
  </si>
  <si>
    <t>PAY-2026-0026</t>
  </si>
  <si>
    <t>PAY-2026-0027</t>
  </si>
  <si>
    <t>PAY-2026-0028</t>
  </si>
  <si>
    <t>PAY-2026-0029</t>
  </si>
  <si>
    <t>PAY-2026-0030</t>
  </si>
  <si>
    <t>PAY-2026-0031</t>
  </si>
  <si>
    <t>PAY-2026-0032</t>
  </si>
  <si>
    <t>PAY-2026-0033</t>
  </si>
  <si>
    <t>PAY-2026-0034</t>
  </si>
  <si>
    <t>PAY-2026-0035</t>
  </si>
  <si>
    <t>PAY-2026-0036</t>
  </si>
  <si>
    <t>PAY-2026-0037</t>
  </si>
  <si>
    <t>PAY-2026-0038</t>
  </si>
  <si>
    <t>PAY-2026-0039</t>
  </si>
  <si>
    <t>PAY-2026-0040</t>
  </si>
  <si>
    <t>PAY-2026-0041</t>
  </si>
  <si>
    <t>PAY-2026-0042</t>
  </si>
  <si>
    <t>PAY-2026-0043</t>
  </si>
  <si>
    <t>PAY-2026-0044</t>
  </si>
  <si>
    <t>PAY-2026-0045</t>
  </si>
  <si>
    <t>PAY-2026-0046</t>
  </si>
  <si>
    <t>PAY-2026-0047</t>
  </si>
  <si>
    <t>PAY-2026-0048</t>
  </si>
  <si>
    <t>PAY-2026-0049</t>
  </si>
  <si>
    <t>PAY-2026-0050</t>
  </si>
  <si>
    <t>Reporte de calidad de datos</t>
  </si>
  <si>
    <t>Indicador</t>
  </si>
  <si>
    <t>Resultado</t>
  </si>
  <si>
    <t>Estatus válidos</t>
  </si>
  <si>
    <t>Estatus por revisar</t>
  </si>
  <si>
    <t>Montos válidos</t>
  </si>
  <si>
    <t>Montos por revisar</t>
  </si>
  <si>
    <t>Pagos con estatus Cancelada</t>
  </si>
  <si>
    <t>Pistas</t>
  </si>
  <si>
    <t>1.</t>
  </si>
  <si>
    <t>2.</t>
  </si>
  <si>
    <t>3.</t>
  </si>
  <si>
    <t>4.</t>
  </si>
  <si>
    <t>5.</t>
  </si>
  <si>
    <t>Solución — revisa después de intentarlo</t>
  </si>
  <si>
    <t>Ubicación</t>
  </si>
  <si>
    <t>Fórmula</t>
  </si>
  <si>
    <t>Función</t>
  </si>
  <si>
    <t>Acción</t>
  </si>
  <si>
    <t>Limpieza nombre</t>
  </si>
  <si>
    <t>Copiar hasta G51</t>
  </si>
  <si>
    <t>Limpieza estatus</t>
  </si>
  <si>
    <t>Copiar hasta H51</t>
  </si>
  <si>
    <t>Validación estatus</t>
  </si>
  <si>
    <t>Copiar hasta I51</t>
  </si>
  <si>
    <t>Validación monto</t>
  </si>
  <si>
    <t>Resumen!B4</t>
  </si>
  <si>
    <t>Resumen</t>
  </si>
  <si>
    <t>Una fórmula</t>
  </si>
  <si>
    <t>Resumen!B5</t>
  </si>
  <si>
    <t>Resumen!B6</t>
  </si>
  <si>
    <t>Resumen!B7</t>
  </si>
  <si>
    <t>Resumen!B8</t>
  </si>
  <si>
    <t>José  Pérez</t>
  </si>
  <si>
    <t>Fila Origen</t>
  </si>
  <si>
    <t>Tipo de Hallazgo</t>
  </si>
  <si>
    <t>Valor Encontrado</t>
  </si>
  <si>
    <t>Observación</t>
  </si>
  <si>
    <t>Acción_Recomendada</t>
  </si>
  <si>
    <t>Fila 9</t>
  </si>
  <si>
    <t>Fila 18</t>
  </si>
  <si>
    <t>Fila 30</t>
  </si>
  <si>
    <t>Fila 42</t>
  </si>
  <si>
    <t>Fila 49</t>
  </si>
  <si>
    <t>En blanco</t>
  </si>
  <si>
    <t>El monto esta en ceros</t>
  </si>
  <si>
    <t>Monto de $0.00</t>
  </si>
  <si>
    <t>Monto vacío</t>
  </si>
  <si>
    <t>Confirmar si el monto de $0.00 es válido para esta operación</t>
  </si>
  <si>
    <t>Solicitar al cliente el monto correspondiente o confirmar si debe permanecer vacío</t>
  </si>
  <si>
    <t>El monto no fue proporcionado</t>
  </si>
  <si>
    <t>Pagos_50_Limpio!B2</t>
  </si>
  <si>
    <t>Pagos_50_Limpio!G2</t>
  </si>
  <si>
    <t>Pagos_50_Limpio!H2</t>
  </si>
  <si>
    <t>Pagos_50_Limpio!I2</t>
  </si>
  <si>
    <t>=ESPACIOS(A2)</t>
  </si>
  <si>
    <t>=SI(O(G2="Aprobada";G2="Pendiente";G2="Rechazada";G2="Cancelada");"Válido";"Revisar")</t>
  </si>
  <si>
    <t>=CONTAR.SI(Pagos_50_Limpio!H2:H51;"Válido")</t>
  </si>
  <si>
    <t>=CONTAR.SI(Pagos_50_Limpio!H2:H51;"Revisar")</t>
  </si>
  <si>
    <t>=CONTAR.SI(Pagos_50_Limpio!I2:I51;"Válido")</t>
  </si>
  <si>
    <t>=CONTAR.SI(Pagos_50_Limpio!I2:I51;"Revisar")</t>
  </si>
  <si>
    <t>=CONTAR.SI(Pagos_50_Limpio!G2:G51;"Cancelada")</t>
  </si>
  <si>
    <t>Copiar hasta B51</t>
  </si>
  <si>
    <t>Estatus válidos: contar "Válido" en Pagos_50_Limpio!H2:H51</t>
  </si>
  <si>
    <t>Montos válidos: contar "Válido" en Pagos_50_Limpio!I2:I51</t>
  </si>
  <si>
    <t>Pagos cancelados: contar "Cancelada" en Pagos_50_Limpio!G2:G51</t>
  </si>
  <si>
    <t>Montos por revisar: contar "Revisar" en Pagos_50_Limpio!I2:I51</t>
  </si>
  <si>
    <t>Estatus por revisar: contar "Revisar" en Pagos_50_Limpio!H2:H51</t>
  </si>
  <si>
    <t>En Pagos_50_Limpio, limpia Nombre_Capturado (columna A) utilizando ESPACIOS y guarda el resultado en Nombre_Limpio (columna B)</t>
  </si>
  <si>
    <t>En Pagos_50_Limpio, limpia Estatus_Capturado (columna F) utilizando ESPACIOS y guarda el resultado en Estatus_Limpio (columna G)</t>
  </si>
  <si>
    <t>En Pagos_50_Limpio, valida Estatus_Limpio (columna G). Si el valor es Aprobada, Pendiente, Rechazada o Cancelada, registra "Válido" en Calidad_Estatus (columna H); de lo contrario, registra "Revisar"</t>
  </si>
  <si>
    <t>En Pagos_50_Limpio, valida Monto (columna E). Si el monto está vacío o es menor o igual a 0, registra "Revisar" en Calidad_Monto (columna I); de lo contrario, registra "Válido"</t>
  </si>
  <si>
    <t>En Pagos_50_Limpio, copia las fórmulas de las columnas B, G, H e I desde la fila 2 hasta la fila 51, para procesar los 50 registros</t>
  </si>
  <si>
    <t>En la hoja Resumen, utiliza CONTAR.SI para calcular los estatus válidos, estatus por revisar, montos válidos, montos por revisar y pagos con estatus Cancelada. Comprueba que los resultados coincidan con los registros de Pagos_50_Limpio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</si>
</sst>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\$#,##0.00"/>
  </numFmts>
  <fonts count="13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  <font>
      <i/>
      <sz val="11"/>
      <color rgb="FF7F6000"/>
      <name val="Carlito"/>
    </font>
    <font>
      <b/>
      <sz val="15"/>
      <color rgb="FFFFFFFF"/>
      <name val="Carlito"/>
    </font>
    <font>
      <b/>
      <sz val="14"/>
      <color rgb="FFFFFFFF"/>
      <name val="Carlito"/>
    </font>
    <font>
      <sz val="11"/>
      <name val="Calibri"/>
      <family val="2"/>
    </font>
    <font>
      <sz val="11"/>
      <color theme="1"/>
      <name val="Carlito"/>
    </font>
    <font>
      <sz val="11"/>
      <color theme="1"/>
      <name val="Calibri"/>
      <family val="2"/>
    </font>
    <font>
      <b/>
      <sz val="11"/>
      <color theme="1"/>
      <name val="Carlito"/>
    </font>
    <font>
      <sz val="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A9D18E"/>
      </patternFill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D966"/>
      </patternFill>
    </fill>
    <fill>
      <patternFill patternType="solid">
        <fgColor rgb="FF70AD4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wrapText="1"/>
    </xf>
    <xf numFmtId="0" fontId="2" fillId="5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/>
    </xf>
    <xf numFmtId="0" fontId="2" fillId="9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0" fontId="8" fillId="0" borderId="0" xfId="0" applyFont="1" applyAlignment="1">
      <alignment vertical="center"/>
    </xf>
    <xf numFmtId="0" fontId="9" fillId="12" borderId="2" xfId="0" applyNumberFormat="1" applyFont="1" applyFill="1" applyBorder="1"/>
    <xf numFmtId="14" fontId="9" fillId="12" borderId="2" xfId="0" applyNumberFormat="1" applyFont="1" applyFill="1" applyBorder="1"/>
    <xf numFmtId="164" fontId="9" fillId="12" borderId="2" xfId="0" applyNumberFormat="1" applyFont="1" applyFill="1" applyBorder="1"/>
    <xf numFmtId="0" fontId="5" fillId="8" borderId="2" xfId="0" applyNumberFormat="1" applyFont="1" applyFill="1" applyBorder="1" applyAlignment="1">
      <alignment horizontal="center"/>
    </xf>
    <xf numFmtId="0" fontId="10" fillId="12" borderId="2" xfId="0" applyFont="1" applyFill="1" applyBorder="1" applyAlignment="1">
      <alignment vertical="center"/>
    </xf>
    <xf numFmtId="0" fontId="9" fillId="0" borderId="2" xfId="0" applyNumberFormat="1" applyFont="1" applyBorder="1"/>
    <xf numFmtId="14" fontId="9" fillId="0" borderId="2" xfId="0" applyNumberFormat="1" applyFont="1" applyBorder="1"/>
    <xf numFmtId="164" fontId="9" fillId="0" borderId="2" xfId="0" applyNumberFormat="1" applyFont="1" applyBorder="1"/>
    <xf numFmtId="0" fontId="11" fillId="9" borderId="2" xfId="0" applyNumberFormat="1" applyFont="1" applyFill="1" applyBorder="1" applyAlignment="1">
      <alignment horizontal="center"/>
    </xf>
    <xf numFmtId="0" fontId="3" fillId="7" borderId="3" xfId="0" applyNumberFormat="1" applyFont="1" applyFill="1" applyBorder="1" applyAlignment="1">
      <alignment horizontal="center" vertical="center"/>
    </xf>
    <xf numFmtId="0" fontId="9" fillId="0" borderId="4" xfId="0" applyNumberFormat="1" applyFont="1" applyBorder="1"/>
    <xf numFmtId="14" fontId="9" fillId="0" borderId="4" xfId="0" applyNumberFormat="1" applyFont="1" applyBorder="1"/>
    <xf numFmtId="164" fontId="9" fillId="0" borderId="4" xfId="0" applyNumberFormat="1" applyFont="1" applyBorder="1"/>
    <xf numFmtId="0" fontId="5" fillId="8" borderId="4" xfId="0" applyNumberFormat="1" applyFont="1" applyFill="1" applyBorder="1" applyAlignment="1">
      <alignment horizontal="center"/>
    </xf>
    <xf numFmtId="0" fontId="0" fillId="0" borderId="0" xfId="0" applyFont="1"/>
    <xf numFmtId="8" fontId="0" fillId="0" borderId="0" xfId="0" applyNumberFormat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wrapText="1"/>
    </xf>
    <xf numFmtId="0" fontId="2" fillId="5" borderId="0" xfId="0" applyNumberFormat="1" applyFont="1" applyFill="1" applyBorder="1" applyAlignment="1">
      <alignment horizontal="center"/>
    </xf>
    <xf numFmtId="0" fontId="4" fillId="6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/>
    </xf>
    <xf numFmtId="0" fontId="2" fillId="10" borderId="0" xfId="0" applyNumberFormat="1" applyFont="1" applyFill="1" applyBorder="1" applyAlignment="1">
      <alignment horizontal="center"/>
    </xf>
    <xf numFmtId="0" fontId="7" fillId="11" borderId="0" xfId="0" applyNumberFormat="1" applyFont="1" applyFill="1" applyBorder="1" applyAlignment="1">
      <alignment horizontal="center"/>
    </xf>
    <xf numFmtId="0" fontId="0" fillId="0" borderId="0" xfId="0" quotePrefix="1" applyNumberFormat="1" applyFont="1" applyFill="1" applyBorder="1" applyAlignment="1">
      <alignment wrapText="1"/>
    </xf>
    <xf numFmtId="0" fontId="11" fillId="0" borderId="0" xfId="0" applyFont="1"/>
    <xf numFmtId="0" fontId="11" fillId="13" borderId="0" xfId="0" applyFont="1" applyFill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numFmt numFmtId="0" formatCode="General"/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numFmt numFmtId="0" formatCode="General"/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\$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203864"/>
        </patternFill>
      </fill>
      <alignment horizontal="center" vertical="center" textRotation="0" wrapText="0" indent="0" justifyLastLine="0" shrinkToFit="0" readingOrder="0"/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gosCalidad50" displayName="TablaPagosCalidad50" ref="A1:J51">
  <tableColumns count="10">
    <tableColumn id="1" xr3:uid="{00000000-0010-0000-0000-000001000000}" name="ID_Pago"/>
    <tableColumn id="2" xr3:uid="{00000000-0010-0000-0000-000002000000}" name="Nombre_Capturado"/>
    <tableColumn id="12" xr3:uid="{333379FD-6994-4A3F-AE53-1EF8D28CBDAE}" name="Nombre_Limpio" dataDxfId="20">
      <calculatedColumnFormula>TRIM(B2)</calculatedColumnFormula>
    </tableColumn>
    <tableColumn id="3" xr3:uid="{00000000-0010-0000-0000-000003000000}" name="Fecha"/>
    <tableColumn id="4" xr3:uid="{00000000-0010-0000-0000-000004000000}" name="Producto_Financiero"/>
    <tableColumn id="5" xr3:uid="{00000000-0010-0000-0000-000005000000}" name="Monto"/>
    <tableColumn id="6" xr3:uid="{00000000-0010-0000-0000-000006000000}" name="Estatus_Capturado"/>
    <tableColumn id="9" xr3:uid="{00000000-0010-0000-0000-000009000000}" name="Calidad_Estatus" dataDxfId="19">
      <calculatedColumnFormula>IF(OR(E2&lt;=0),"Revisar","Válido")</calculatedColumnFormula>
    </tableColumn>
    <tableColumn id="10" xr3:uid="{00000000-0010-0000-0000-00000A000000}" name="Calidad_Monto">
      <calculatedColumnFormula>IF(OR(E2="",E2=0),"Revisar","Valido")</calculatedColumnFormula>
    </tableColumn>
    <tableColumn id="11" xr3:uid="{00000000-0010-0000-0000-00000B000000}" name="Comprobación">
      <calculatedColumnFormula>IF(AND(Pagos_50_Original!A2="Ana López", Pagos_50_Original!G2="Rechazada", H2="Válido", I2="Válido"), "Correcto", "Revisa")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A2139-E314-474C-B2B7-979717DEA0E9}" name="Tabla2" displayName="Tabla2" ref="A1:J51" totalsRowShown="0" headerRowDxfId="14" dataDxfId="12" headerRowBorderDxfId="13" tableBorderDxfId="11" totalsRowBorderDxfId="10">
  <autoFilter ref="A1:J51" xr:uid="{A13A2139-E314-474C-B2B7-979717DEA0E9}"/>
  <tableColumns count="10">
    <tableColumn id="1" xr3:uid="{4334B4D9-EAFF-4571-ADFB-7F6BBB9094F6}" name="Nombre_Capturado" dataDxfId="9"/>
    <tableColumn id="2" xr3:uid="{B37BF6CA-43E7-42E1-98E4-09BFAA05CF47}" name="Nombre_Limpio" dataDxfId="8">
      <calculatedColumnFormula>TRIM(A2)</calculatedColumnFormula>
    </tableColumn>
    <tableColumn id="3" xr3:uid="{BFF93549-40D7-4AF4-B4C6-035995A48279}" name="Fecha" dataDxfId="7"/>
    <tableColumn id="4" xr3:uid="{975DB819-E22B-4E40-8D80-4BD211B02179}" name="Producto_Financiero" dataDxfId="6"/>
    <tableColumn id="5" xr3:uid="{0251FDAF-1832-4454-80C0-3901DA0F9F17}" name="Monto" dataDxfId="5"/>
    <tableColumn id="6" xr3:uid="{EA267329-C7E5-4C97-BAE6-1CE3C1D45FF6}" name="Estatus_Capturado" dataDxfId="4"/>
    <tableColumn id="8" xr3:uid="{40EF8731-7EA6-433F-B925-DF4503463DCF}" name="Estatus_Limpio" dataDxfId="3">
      <calculatedColumnFormula>TRIM(F2)</calculatedColumnFormula>
    </tableColumn>
    <tableColumn id="9" xr3:uid="{7AE30C1D-D4CC-4B5C-AE83-2D008F842CC1}" name="Calidad_Estatus" dataDxfId="2">
      <calculatedColumnFormula>IF(OR(G2="Aprobada",G2="Rechazada",G2="Pendiente",G2="Cancelada"),"Válido","Revisar")</calculatedColumnFormula>
    </tableColumn>
    <tableColumn id="10" xr3:uid="{78F16FDE-0140-452B-980B-5353903F6FD6}" name="Calidad_Monto" dataDxfId="1">
      <calculatedColumnFormula>IF(OR(E2="",E2=0),"Revisar","Válido")</calculatedColumnFormula>
    </tableColumn>
    <tableColumn id="11" xr3:uid="{2A12CA1D-505F-4F4D-8B99-BB2F2CA9A9AD}" name="Comprobación" dataDxfId="0">
      <calculatedColumnFormula>IF(H2&lt;&gt;"Válido","Revisa",IF(I2&lt;&gt;"Válido","Revisa","Correcto"))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7" workbookViewId="0">
      <selection activeCell="B19" sqref="B19"/>
    </sheetView>
  </sheetViews>
  <sheetFormatPr baseColWidth="10" defaultColWidth="8.796875" defaultRowHeight="13.8"/>
  <cols>
    <col min="1" max="1" width="12" customWidth="1"/>
    <col min="2" max="2" width="58" customWidth="1"/>
    <col min="3" max="6" width="14" customWidth="1"/>
  </cols>
  <sheetData>
    <row r="1" spans="1:6" ht="24" customHeight="1">
      <c r="A1" s="30" t="s">
        <v>0</v>
      </c>
      <c r="B1" s="30"/>
      <c r="C1" s="30"/>
      <c r="D1" s="30"/>
      <c r="E1" s="30"/>
      <c r="F1" s="30"/>
    </row>
    <row r="3" spans="1:6" ht="30.45" customHeight="1">
      <c r="A3" s="31" t="s">
        <v>1</v>
      </c>
      <c r="B3" s="31"/>
      <c r="C3" s="31"/>
      <c r="D3" s="31"/>
      <c r="E3" s="31"/>
      <c r="F3" s="31"/>
    </row>
    <row r="5" spans="1:6">
      <c r="A5" s="2" t="s">
        <v>2</v>
      </c>
      <c r="B5" s="2" t="s">
        <v>3</v>
      </c>
    </row>
    <row r="6" spans="1:6" ht="41.4">
      <c r="A6" s="5">
        <v>1</v>
      </c>
      <c r="B6" s="4" t="s">
        <v>160</v>
      </c>
    </row>
    <row r="7" spans="1:6" ht="41.4">
      <c r="A7" s="5">
        <v>2</v>
      </c>
      <c r="B7" s="4" t="s">
        <v>161</v>
      </c>
    </row>
    <row r="8" spans="1:6" ht="41.4">
      <c r="A8" s="5">
        <v>3</v>
      </c>
      <c r="B8" s="4" t="s">
        <v>162</v>
      </c>
    </row>
    <row r="9" spans="1:6" ht="41.4">
      <c r="A9" s="5">
        <v>4</v>
      </c>
      <c r="B9" s="4" t="s">
        <v>163</v>
      </c>
    </row>
    <row r="10" spans="1:6" ht="27.6">
      <c r="A10" s="5">
        <v>5</v>
      </c>
      <c r="B10" s="4" t="s">
        <v>164</v>
      </c>
    </row>
    <row r="11" spans="1:6" ht="55.2">
      <c r="A11" s="5">
        <v>6</v>
      </c>
      <c r="B11" s="4" t="s">
        <v>165</v>
      </c>
    </row>
    <row r="14" spans="1:6">
      <c r="A14" s="32" t="s">
        <v>4</v>
      </c>
      <c r="B14" s="32"/>
      <c r="C14" s="32"/>
      <c r="D14" s="32"/>
      <c r="E14" s="32"/>
      <c r="F14" s="32"/>
    </row>
    <row r="15" spans="1:6">
      <c r="A15" s="4" t="s">
        <v>5</v>
      </c>
      <c r="B15" s="37" t="s">
        <v>147</v>
      </c>
    </row>
    <row r="16" spans="1:6" ht="27.6">
      <c r="A16" s="4" t="s">
        <v>6</v>
      </c>
      <c r="B16" s="37" t="s">
        <v>7</v>
      </c>
    </row>
    <row r="17" spans="1:6" ht="27.6">
      <c r="A17" s="4" t="s">
        <v>8</v>
      </c>
      <c r="B17" s="37" t="s">
        <v>148</v>
      </c>
    </row>
    <row r="18" spans="1:6">
      <c r="A18" s="4" t="s">
        <v>9</v>
      </c>
      <c r="B18" s="37" t="s">
        <v>10</v>
      </c>
    </row>
    <row r="19" spans="1:6">
      <c r="A19" s="4" t="s">
        <v>11</v>
      </c>
      <c r="B19" s="37" t="s">
        <v>152</v>
      </c>
    </row>
    <row r="22" spans="1:6">
      <c r="A22" s="33" t="s">
        <v>12</v>
      </c>
      <c r="B22" s="33"/>
      <c r="C22" s="33"/>
      <c r="D22" s="33"/>
      <c r="E22" s="33"/>
      <c r="F22" s="33"/>
    </row>
    <row r="23" spans="1:6">
      <c r="A23" s="33"/>
      <c r="B23" s="33"/>
      <c r="C23" s="33"/>
      <c r="D23" s="33"/>
      <c r="E23" s="33"/>
      <c r="F23" s="33"/>
    </row>
  </sheetData>
  <mergeCells count="4">
    <mergeCell ref="A1:F1"/>
    <mergeCell ref="A3:F3"/>
    <mergeCell ref="A14:F14"/>
    <mergeCell ref="A22:F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opLeftCell="A3" workbookViewId="0">
      <selection activeCell="C13" sqref="C13"/>
    </sheetView>
  </sheetViews>
  <sheetFormatPr baseColWidth="10" defaultColWidth="8.796875" defaultRowHeight="13.8"/>
  <cols>
    <col min="1" max="1" width="30" customWidth="1"/>
    <col min="2" max="2" width="22" customWidth="1"/>
    <col min="3" max="3" width="16" customWidth="1"/>
    <col min="9" max="9" width="11.8984375" bestFit="1" customWidth="1"/>
  </cols>
  <sheetData>
    <row r="1" spans="1:4" ht="19.2">
      <c r="A1" s="34" t="s">
        <v>92</v>
      </c>
      <c r="B1" s="34"/>
      <c r="C1" s="34"/>
      <c r="D1" s="34"/>
    </row>
    <row r="3" spans="1:4">
      <c r="A3" s="2" t="s">
        <v>93</v>
      </c>
      <c r="B3" s="2" t="s">
        <v>94</v>
      </c>
      <c r="C3" s="2" t="s">
        <v>23</v>
      </c>
    </row>
    <row r="4" spans="1:4" ht="14.4">
      <c r="A4" s="3" t="s">
        <v>95</v>
      </c>
      <c r="B4" s="9">
        <f>COUNTIF(Pagos_50_Limpio!H2:H51,"Válido")</f>
        <v>50</v>
      </c>
      <c r="C4" s="10" t="str">
        <f>IF(B4=50,"Correcto","Revisa")</f>
        <v>Correcto</v>
      </c>
    </row>
    <row r="5" spans="1:4" ht="14.4">
      <c r="A5" s="3" t="s">
        <v>96</v>
      </c>
      <c r="B5" s="9">
        <f>COUNTIF(Pagos_50_Limpio!H2:H51,"Revisar")</f>
        <v>0</v>
      </c>
      <c r="C5" s="10" t="str">
        <f>IF(B5=0,"Correcto","Revisa")</f>
        <v>Correcto</v>
      </c>
    </row>
    <row r="6" spans="1:4" ht="14.4">
      <c r="A6" s="3" t="s">
        <v>97</v>
      </c>
      <c r="B6" s="9">
        <f>COUNTIF(Pagos_50_Limpio!I2:I51,"Válido")</f>
        <v>45</v>
      </c>
      <c r="C6" s="10" t="str">
        <f>IF(B6=45,"Correcto","Revisa")</f>
        <v>Correcto</v>
      </c>
    </row>
    <row r="7" spans="1:4" ht="14.4">
      <c r="A7" s="3" t="s">
        <v>98</v>
      </c>
      <c r="B7" s="9">
        <f>COUNTIF(Pagos_50_Limpio!I2:I51,"Revisar")</f>
        <v>5</v>
      </c>
      <c r="C7" s="10" t="str">
        <f>IF(B7=5,"Correcto","Revisa")</f>
        <v>Correcto</v>
      </c>
    </row>
    <row r="8" spans="1:4" ht="14.4">
      <c r="A8" s="3" t="s">
        <v>99</v>
      </c>
      <c r="B8" s="9">
        <f>COUNTIF(Pagos_50_Limpio!G2:G51,"Cancelada")</f>
        <v>6</v>
      </c>
      <c r="C8" s="10" t="str">
        <f>IF(B8=6,"Correcto","Revisa")</f>
        <v>Correcto</v>
      </c>
    </row>
    <row r="11" spans="1:4">
      <c r="A11" s="35" t="s">
        <v>100</v>
      </c>
      <c r="B11" s="35"/>
      <c r="C11" s="35"/>
      <c r="D11" s="35"/>
    </row>
    <row r="12" spans="1:4" ht="55.2">
      <c r="A12" s="5" t="s">
        <v>101</v>
      </c>
      <c r="B12" s="4" t="s">
        <v>155</v>
      </c>
    </row>
    <row r="13" spans="1:4" ht="55.2">
      <c r="A13" s="5" t="s">
        <v>102</v>
      </c>
      <c r="B13" s="4" t="s">
        <v>159</v>
      </c>
    </row>
    <row r="14" spans="1:4" ht="41.4">
      <c r="A14" s="5" t="s">
        <v>103</v>
      </c>
      <c r="B14" s="4" t="s">
        <v>156</v>
      </c>
    </row>
    <row r="15" spans="1:4" ht="41.4">
      <c r="A15" s="5" t="s">
        <v>104</v>
      </c>
      <c r="B15" s="4" t="s">
        <v>158</v>
      </c>
    </row>
    <row r="16" spans="1:4" ht="55.2">
      <c r="A16" s="5" t="s">
        <v>105</v>
      </c>
      <c r="B16" s="4" t="s">
        <v>157</v>
      </c>
    </row>
  </sheetData>
  <mergeCells count="2">
    <mergeCell ref="A1:D1"/>
    <mergeCell ref="A11:D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opLeftCell="A32" workbookViewId="0">
      <selection activeCell="J2" sqref="J2"/>
    </sheetView>
  </sheetViews>
  <sheetFormatPr baseColWidth="10" defaultColWidth="8.796875" defaultRowHeight="13.8"/>
  <cols>
    <col min="1" max="1" width="17" customWidth="1"/>
    <col min="2" max="2" width="23" customWidth="1"/>
    <col min="3" max="3" width="20.296875" customWidth="1"/>
    <col min="4" max="4" width="12.69921875" customWidth="1"/>
    <col min="5" max="5" width="13" customWidth="1"/>
    <col min="6" max="7" width="20" customWidth="1"/>
    <col min="8" max="8" width="16" customWidth="1"/>
    <col min="9" max="9" width="15" customWidth="1"/>
    <col min="10" max="10" width="12.796875" customWidth="1"/>
  </cols>
  <sheetData>
    <row r="1" spans="1:10" ht="22.35" customHeight="1">
      <c r="A1" s="7" t="s">
        <v>13</v>
      </c>
      <c r="B1" s="7" t="s">
        <v>14</v>
      </c>
      <c r="C1" s="8" t="s">
        <v>19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21</v>
      </c>
      <c r="I1" s="7" t="s">
        <v>22</v>
      </c>
      <c r="J1" s="7" t="s">
        <v>23</v>
      </c>
    </row>
    <row r="2" spans="1:10" ht="14.4">
      <c r="A2" s="3" t="s">
        <v>24</v>
      </c>
      <c r="B2" s="3" t="s">
        <v>25</v>
      </c>
      <c r="C2" s="1" t="str">
        <f t="shared" ref="C2:C33" si="0">TRIM(B2)</f>
        <v>Ana López</v>
      </c>
      <c r="D2" s="11">
        <v>46204</v>
      </c>
      <c r="E2" s="3" t="s">
        <v>26</v>
      </c>
      <c r="F2" s="12">
        <v>461.75</v>
      </c>
      <c r="G2" s="3" t="s">
        <v>27</v>
      </c>
      <c r="H2" s="13" t="str">
        <f t="shared" ref="H2:H33" si="1">IF(OR(E2&lt;=0),"Revisar","Válido")</f>
        <v>Válido</v>
      </c>
      <c r="I2" s="9" t="str">
        <f>IF(OR(E2="",E2=0),"Revisar","Valido")</f>
        <v>Valido</v>
      </c>
      <c r="J2" s="10" t="str">
        <f>IF(AND(Pagos_50_Original!A2="Ana López", Pagos_50_Original!G2="Rechazada", H2="Válido", I2="Válido"), "Correcto", "Revisa")</f>
        <v>Revisa</v>
      </c>
    </row>
    <row r="3" spans="1:10" ht="14.4">
      <c r="A3" s="3" t="s">
        <v>28</v>
      </c>
      <c r="B3" s="3" t="s">
        <v>29</v>
      </c>
      <c r="C3" s="1" t="str">
        <f t="shared" si="0"/>
        <v>Carlos Ruiz</v>
      </c>
      <c r="D3" s="11">
        <v>46205</v>
      </c>
      <c r="E3" s="3" t="s">
        <v>30</v>
      </c>
      <c r="F3" s="12">
        <v>673.5</v>
      </c>
      <c r="G3" s="3" t="s">
        <v>31</v>
      </c>
      <c r="H3" s="13" t="str">
        <f t="shared" si="1"/>
        <v>Válido</v>
      </c>
      <c r="I3" s="9" t="str">
        <f t="shared" ref="I3:I51" si="2">IF(OR(E3="",E3=0),"Revisar","Valido")</f>
        <v>Valido</v>
      </c>
      <c r="J3" s="10" t="str">
        <f>IF(AND(Pagos_50_Original!A3="Ana López", Pagos_50_Original!G3="Rechazada", H3="Válido", I3="Válido"), "Correcto", "Revisa")</f>
        <v>Revisa</v>
      </c>
    </row>
    <row r="4" spans="1:10" ht="14.4">
      <c r="A4" s="3" t="s">
        <v>32</v>
      </c>
      <c r="B4" s="3" t="s">
        <v>33</v>
      </c>
      <c r="C4" s="1" t="str">
        <f t="shared" si="0"/>
        <v>María Torres</v>
      </c>
      <c r="D4" s="11">
        <v>46206</v>
      </c>
      <c r="E4" s="3" t="s">
        <v>34</v>
      </c>
      <c r="F4" s="12">
        <v>883</v>
      </c>
      <c r="G4" s="3" t="s">
        <v>35</v>
      </c>
      <c r="H4" s="13" t="str">
        <f t="shared" si="1"/>
        <v>Válido</v>
      </c>
      <c r="I4" s="9" t="str">
        <f t="shared" si="2"/>
        <v>Valido</v>
      </c>
      <c r="J4" s="10" t="str">
        <f>IF(AND(Pagos_50_Original!A4="Ana López", Pagos_50_Original!G4="Rechazada", H4="Válido", I4="Válido"), "Correcto", "Revisa")</f>
        <v>Revisa</v>
      </c>
    </row>
    <row r="5" spans="1:10" ht="14.4">
      <c r="A5" s="3" t="s">
        <v>36</v>
      </c>
      <c r="B5" s="3" t="s">
        <v>37</v>
      </c>
      <c r="C5" s="1" t="str">
        <f t="shared" si="0"/>
        <v>José Pérez</v>
      </c>
      <c r="D5" s="11">
        <v>46207</v>
      </c>
      <c r="E5" s="3" t="s">
        <v>38</v>
      </c>
      <c r="F5" s="12">
        <v>1094.75</v>
      </c>
      <c r="G5" s="3" t="s">
        <v>35</v>
      </c>
      <c r="H5" s="13" t="str">
        <f t="shared" si="1"/>
        <v>Válido</v>
      </c>
      <c r="I5" s="9" t="str">
        <f t="shared" si="2"/>
        <v>Valido</v>
      </c>
      <c r="J5" s="10" t="str">
        <f>IF(AND(Pagos_50_Original!A5="Ana López", Pagos_50_Original!G5="Rechazada", H5="Válido", I5="Válido"), "Correcto", "Revisa")</f>
        <v>Revisa</v>
      </c>
    </row>
    <row r="6" spans="1:10" ht="14.4">
      <c r="A6" s="3" t="s">
        <v>39</v>
      </c>
      <c r="B6" s="3" t="s">
        <v>40</v>
      </c>
      <c r="C6" s="1" t="str">
        <f t="shared" si="0"/>
        <v>Laura Díaz</v>
      </c>
      <c r="D6" s="11">
        <v>46208</v>
      </c>
      <c r="E6" s="3" t="s">
        <v>26</v>
      </c>
      <c r="F6" s="12">
        <v>1306.5</v>
      </c>
      <c r="G6" s="3" t="s">
        <v>41</v>
      </c>
      <c r="H6" s="13" t="str">
        <f t="shared" si="1"/>
        <v>Válido</v>
      </c>
      <c r="I6" s="9" t="str">
        <f t="shared" si="2"/>
        <v>Valido</v>
      </c>
      <c r="J6" s="10" t="str">
        <f>IF(AND(Pagos_50_Original!A6="Ana López", Pagos_50_Original!G6="Rechazada", H6="Válido", I6="Válido"), "Correcto", "Revisa")</f>
        <v>Revisa</v>
      </c>
    </row>
    <row r="7" spans="1:10" ht="14.4">
      <c r="A7" s="3" t="s">
        <v>42</v>
      </c>
      <c r="B7" s="3" t="s">
        <v>43</v>
      </c>
      <c r="C7" s="1" t="str">
        <f t="shared" si="0"/>
        <v>Miguel Soto</v>
      </c>
      <c r="D7" s="11">
        <v>46209</v>
      </c>
      <c r="E7" s="3" t="s">
        <v>30</v>
      </c>
      <c r="F7" s="12">
        <v>1516</v>
      </c>
      <c r="G7" s="3" t="s">
        <v>44</v>
      </c>
      <c r="H7" s="13" t="str">
        <f t="shared" si="1"/>
        <v>Válido</v>
      </c>
      <c r="I7" s="9" t="str">
        <f t="shared" si="2"/>
        <v>Valido</v>
      </c>
      <c r="J7" s="10" t="str">
        <f>IF(AND(Pagos_50_Original!A7="Ana López", Pagos_50_Original!G7="Rechazada", H7="Válido", I7="Válido"), "Correcto", "Revisa")</f>
        <v>Revisa</v>
      </c>
    </row>
    <row r="8" spans="1:10" ht="14.4">
      <c r="A8" s="3" t="s">
        <v>45</v>
      </c>
      <c r="B8" s="3" t="s">
        <v>46</v>
      </c>
      <c r="C8" s="1" t="str">
        <f t="shared" si="0"/>
        <v>Sofía Ramos</v>
      </c>
      <c r="D8" s="11">
        <v>46210</v>
      </c>
      <c r="E8" s="3" t="s">
        <v>34</v>
      </c>
      <c r="F8" s="12">
        <v>1727.75</v>
      </c>
      <c r="G8" s="3" t="s">
        <v>47</v>
      </c>
      <c r="H8" s="13" t="str">
        <f t="shared" si="1"/>
        <v>Válido</v>
      </c>
      <c r="I8" s="9" t="str">
        <f t="shared" si="2"/>
        <v>Valido</v>
      </c>
      <c r="J8" s="10" t="str">
        <f>IF(AND(Pagos_50_Original!A8="Ana López", Pagos_50_Original!G8="Rechazada", H8="Válido", I8="Válido"), "Correcto", "Revisa")</f>
        <v>Revisa</v>
      </c>
    </row>
    <row r="9" spans="1:10" ht="14.4">
      <c r="A9" s="3" t="s">
        <v>48</v>
      </c>
      <c r="B9" s="3" t="s">
        <v>49</v>
      </c>
      <c r="C9" s="1" t="str">
        <f t="shared" si="0"/>
        <v>Daniel Cruz</v>
      </c>
      <c r="D9" s="11">
        <v>46211</v>
      </c>
      <c r="E9" s="3" t="s">
        <v>38</v>
      </c>
      <c r="F9" s="12">
        <v>0</v>
      </c>
      <c r="G9" s="3" t="s">
        <v>35</v>
      </c>
      <c r="H9" s="13" t="str">
        <f t="shared" si="1"/>
        <v>Válido</v>
      </c>
      <c r="I9" s="9" t="str">
        <f t="shared" si="2"/>
        <v>Valido</v>
      </c>
      <c r="J9" s="10" t="str">
        <f>IF(AND(Pagos_50_Original!A9="Ana López", Pagos_50_Original!G9="Rechazada", H9="Válido", I9="Válido"), "Correcto", "Revisa")</f>
        <v>Revisa</v>
      </c>
    </row>
    <row r="10" spans="1:10" ht="14.4">
      <c r="A10" s="3" t="s">
        <v>50</v>
      </c>
      <c r="B10" s="3" t="s">
        <v>25</v>
      </c>
      <c r="C10" s="1" t="str">
        <f t="shared" si="0"/>
        <v>Ana López</v>
      </c>
      <c r="D10" s="11">
        <v>46212</v>
      </c>
      <c r="E10" s="3" t="s">
        <v>26</v>
      </c>
      <c r="F10" s="12">
        <v>2149</v>
      </c>
      <c r="G10" s="3" t="s">
        <v>27</v>
      </c>
      <c r="H10" s="13" t="str">
        <f t="shared" si="1"/>
        <v>Válido</v>
      </c>
      <c r="I10" s="9" t="str">
        <f t="shared" si="2"/>
        <v>Valido</v>
      </c>
      <c r="J10" s="10" t="str">
        <f>IF(AND(Pagos_50_Original!A10="Ana López", Pagos_50_Original!G10="Rechazada", H10="Válido", I10="Válido"), "Correcto", "Revisa")</f>
        <v>Revisa</v>
      </c>
    </row>
    <row r="11" spans="1:10" ht="14.4">
      <c r="A11" s="3" t="s">
        <v>51</v>
      </c>
      <c r="B11" s="3" t="s">
        <v>29</v>
      </c>
      <c r="C11" s="1" t="str">
        <f t="shared" si="0"/>
        <v>Carlos Ruiz</v>
      </c>
      <c r="D11" s="11">
        <v>46213</v>
      </c>
      <c r="E11" s="3" t="s">
        <v>30</v>
      </c>
      <c r="F11" s="12">
        <v>2360.75</v>
      </c>
      <c r="G11" s="3" t="s">
        <v>31</v>
      </c>
      <c r="H11" s="13" t="str">
        <f t="shared" si="1"/>
        <v>Válido</v>
      </c>
      <c r="I11" s="9" t="str">
        <f t="shared" si="2"/>
        <v>Valido</v>
      </c>
      <c r="J11" s="10" t="str">
        <f>IF(AND(Pagos_50_Original!A11="Ana López", Pagos_50_Original!G11="Rechazada", H11="Válido", I11="Válido"), "Correcto", "Revisa")</f>
        <v>Revisa</v>
      </c>
    </row>
    <row r="12" spans="1:10" ht="14.4">
      <c r="A12" s="3" t="s">
        <v>52</v>
      </c>
      <c r="B12" s="3" t="s">
        <v>33</v>
      </c>
      <c r="C12" s="1" t="str">
        <f t="shared" si="0"/>
        <v>María Torres</v>
      </c>
      <c r="D12" s="11">
        <v>46214</v>
      </c>
      <c r="E12" s="3" t="s">
        <v>34</v>
      </c>
      <c r="F12" s="12">
        <v>2572.5</v>
      </c>
      <c r="G12" s="3" t="s">
        <v>35</v>
      </c>
      <c r="H12" s="13" t="str">
        <f t="shared" si="1"/>
        <v>Válido</v>
      </c>
      <c r="I12" s="9" t="str">
        <f t="shared" si="2"/>
        <v>Valido</v>
      </c>
      <c r="J12" s="10" t="str">
        <f>IF(AND(Pagos_50_Original!A12="Ana López", Pagos_50_Original!G12="Rechazada", H12="Válido", I12="Válido"), "Correcto", "Revisa")</f>
        <v>Revisa</v>
      </c>
    </row>
    <row r="13" spans="1:10" ht="14.4">
      <c r="A13" s="3" t="s">
        <v>53</v>
      </c>
      <c r="B13" s="3" t="s">
        <v>37</v>
      </c>
      <c r="C13" s="1" t="str">
        <f t="shared" si="0"/>
        <v>José Pérez</v>
      </c>
      <c r="D13" s="11">
        <v>46215</v>
      </c>
      <c r="E13" s="3" t="s">
        <v>38</v>
      </c>
      <c r="F13" s="12">
        <v>2782</v>
      </c>
      <c r="G13" s="3" t="s">
        <v>35</v>
      </c>
      <c r="H13" s="13" t="str">
        <f t="shared" si="1"/>
        <v>Válido</v>
      </c>
      <c r="I13" s="9" t="str">
        <f t="shared" si="2"/>
        <v>Valido</v>
      </c>
      <c r="J13" s="10" t="str">
        <f>IF(AND(Pagos_50_Original!A13="Ana López", Pagos_50_Original!G13="Rechazada", H13="Válido", I13="Válido"), "Correcto", "Revisa")</f>
        <v>Revisa</v>
      </c>
    </row>
    <row r="14" spans="1:10" ht="14.4">
      <c r="A14" s="3" t="s">
        <v>54</v>
      </c>
      <c r="B14" s="3" t="s">
        <v>40</v>
      </c>
      <c r="C14" s="1" t="str">
        <f t="shared" si="0"/>
        <v>Laura Díaz</v>
      </c>
      <c r="D14" s="11">
        <v>46216</v>
      </c>
      <c r="E14" s="3" t="s">
        <v>26</v>
      </c>
      <c r="F14" s="12">
        <v>2993.75</v>
      </c>
      <c r="G14" s="3" t="s">
        <v>41</v>
      </c>
      <c r="H14" s="13" t="str">
        <f t="shared" si="1"/>
        <v>Válido</v>
      </c>
      <c r="I14" s="9" t="str">
        <f t="shared" si="2"/>
        <v>Valido</v>
      </c>
      <c r="J14" s="10" t="str">
        <f>IF(AND(Pagos_50_Original!A14="Ana López", Pagos_50_Original!G14="Rechazada", H14="Válido", I14="Válido"), "Correcto", "Revisa")</f>
        <v>Revisa</v>
      </c>
    </row>
    <row r="15" spans="1:10" ht="14.4">
      <c r="A15" s="3" t="s">
        <v>55</v>
      </c>
      <c r="B15" s="3" t="s">
        <v>43</v>
      </c>
      <c r="C15" s="1" t="str">
        <f t="shared" si="0"/>
        <v>Miguel Soto</v>
      </c>
      <c r="D15" s="11">
        <v>46217</v>
      </c>
      <c r="E15" s="3" t="s">
        <v>30</v>
      </c>
      <c r="F15" s="12">
        <v>3205.5</v>
      </c>
      <c r="G15" s="3" t="s">
        <v>44</v>
      </c>
      <c r="H15" s="13" t="str">
        <f t="shared" si="1"/>
        <v>Válido</v>
      </c>
      <c r="I15" s="9" t="str">
        <f t="shared" si="2"/>
        <v>Valido</v>
      </c>
      <c r="J15" s="10" t="str">
        <f>IF(AND(Pagos_50_Original!A15="Ana López", Pagos_50_Original!G15="Rechazada", H15="Válido", I15="Válido"), "Correcto", "Revisa")</f>
        <v>Revisa</v>
      </c>
    </row>
    <row r="16" spans="1:10" ht="14.4">
      <c r="A16" s="3" t="s">
        <v>56</v>
      </c>
      <c r="B16" s="3" t="s">
        <v>46</v>
      </c>
      <c r="C16" s="1" t="str">
        <f t="shared" si="0"/>
        <v>Sofía Ramos</v>
      </c>
      <c r="D16" s="11">
        <v>46218</v>
      </c>
      <c r="E16" s="3" t="s">
        <v>34</v>
      </c>
      <c r="F16" s="12">
        <v>3415</v>
      </c>
      <c r="G16" s="3" t="s">
        <v>47</v>
      </c>
      <c r="H16" s="13" t="str">
        <f t="shared" si="1"/>
        <v>Válido</v>
      </c>
      <c r="I16" s="9" t="str">
        <f t="shared" si="2"/>
        <v>Valido</v>
      </c>
      <c r="J16" s="10" t="str">
        <f>IF(AND(Pagos_50_Original!A16="Ana López", Pagos_50_Original!G16="Rechazada", H16="Válido", I16="Válido"), "Correcto", "Revisa")</f>
        <v>Revisa</v>
      </c>
    </row>
    <row r="17" spans="1:10" ht="14.4">
      <c r="A17" s="3" t="s">
        <v>57</v>
      </c>
      <c r="B17" s="3" t="s">
        <v>49</v>
      </c>
      <c r="C17" s="1" t="str">
        <f t="shared" si="0"/>
        <v>Daniel Cruz</v>
      </c>
      <c r="D17" s="11">
        <v>46219</v>
      </c>
      <c r="E17" s="3" t="s">
        <v>38</v>
      </c>
      <c r="F17" s="12">
        <v>3626.75</v>
      </c>
      <c r="G17" s="3" t="s">
        <v>35</v>
      </c>
      <c r="H17" s="13" t="str">
        <f t="shared" si="1"/>
        <v>Válido</v>
      </c>
      <c r="I17" s="9" t="str">
        <f t="shared" si="2"/>
        <v>Valido</v>
      </c>
      <c r="J17" s="10" t="str">
        <f>IF(AND(Pagos_50_Original!A17="Ana López", Pagos_50_Original!G17="Rechazada", H17="Válido", I17="Válido"), "Correcto", "Revisa")</f>
        <v>Revisa</v>
      </c>
    </row>
    <row r="18" spans="1:10" ht="14.4">
      <c r="A18" s="3" t="s">
        <v>58</v>
      </c>
      <c r="B18" s="3" t="s">
        <v>25</v>
      </c>
      <c r="C18" s="1" t="str">
        <f t="shared" si="0"/>
        <v>Ana López</v>
      </c>
      <c r="D18" s="11">
        <v>46220</v>
      </c>
      <c r="E18" s="3" t="s">
        <v>26</v>
      </c>
      <c r="F18" s="12"/>
      <c r="G18" s="3" t="s">
        <v>27</v>
      </c>
      <c r="H18" s="13" t="str">
        <f t="shared" si="1"/>
        <v>Válido</v>
      </c>
      <c r="I18" s="9" t="str">
        <f t="shared" si="2"/>
        <v>Valido</v>
      </c>
      <c r="J18" s="10" t="str">
        <f>IF(AND(Pagos_50_Original!A18="Ana López", Pagos_50_Original!G18="Rechazada", H18="Válido", I18="Válido"), "Correcto", "Revisa")</f>
        <v>Revisa</v>
      </c>
    </row>
    <row r="19" spans="1:10" ht="14.4">
      <c r="A19" s="3" t="s">
        <v>59</v>
      </c>
      <c r="B19" s="3" t="s">
        <v>29</v>
      </c>
      <c r="C19" s="1" t="str">
        <f t="shared" si="0"/>
        <v>Carlos Ruiz</v>
      </c>
      <c r="D19" s="11">
        <v>46221</v>
      </c>
      <c r="E19" s="3" t="s">
        <v>30</v>
      </c>
      <c r="F19" s="12">
        <v>4048</v>
      </c>
      <c r="G19" s="3" t="s">
        <v>31</v>
      </c>
      <c r="H19" s="13" t="str">
        <f t="shared" si="1"/>
        <v>Válido</v>
      </c>
      <c r="I19" s="9" t="str">
        <f t="shared" si="2"/>
        <v>Valido</v>
      </c>
      <c r="J19" s="10" t="str">
        <f>IF(AND(Pagos_50_Original!A19="Ana López", Pagos_50_Original!G19="Rechazada", H19="Válido", I19="Válido"), "Correcto", "Revisa")</f>
        <v>Revisa</v>
      </c>
    </row>
    <row r="20" spans="1:10" ht="14.4">
      <c r="A20" s="3" t="s">
        <v>60</v>
      </c>
      <c r="B20" s="3" t="s">
        <v>33</v>
      </c>
      <c r="C20" s="1" t="str">
        <f t="shared" si="0"/>
        <v>María Torres</v>
      </c>
      <c r="D20" s="11">
        <v>46222</v>
      </c>
      <c r="E20" s="3" t="s">
        <v>34</v>
      </c>
      <c r="F20" s="12">
        <v>4259.75</v>
      </c>
      <c r="G20" s="3" t="s">
        <v>35</v>
      </c>
      <c r="H20" s="13" t="str">
        <f t="shared" si="1"/>
        <v>Válido</v>
      </c>
      <c r="I20" s="9" t="str">
        <f t="shared" si="2"/>
        <v>Valido</v>
      </c>
      <c r="J20" s="10" t="str">
        <f>IF(AND(Pagos_50_Original!A20="Ana López", Pagos_50_Original!G20="Rechazada", H20="Válido", I20="Válido"), "Correcto", "Revisa")</f>
        <v>Revisa</v>
      </c>
    </row>
    <row r="21" spans="1:10" ht="14.4">
      <c r="A21" s="3" t="s">
        <v>61</v>
      </c>
      <c r="B21" s="3" t="s">
        <v>37</v>
      </c>
      <c r="C21" s="1" t="str">
        <f t="shared" si="0"/>
        <v>José Pérez</v>
      </c>
      <c r="D21" s="11">
        <v>46223</v>
      </c>
      <c r="E21" s="3" t="s">
        <v>38</v>
      </c>
      <c r="F21" s="12">
        <v>271.5</v>
      </c>
      <c r="G21" s="3" t="s">
        <v>35</v>
      </c>
      <c r="H21" s="13" t="str">
        <f t="shared" si="1"/>
        <v>Válido</v>
      </c>
      <c r="I21" s="9" t="str">
        <f t="shared" si="2"/>
        <v>Valido</v>
      </c>
      <c r="J21" s="10" t="str">
        <f>IF(AND(Pagos_50_Original!A21="Ana López", Pagos_50_Original!G21="Rechazada", H21="Válido", I21="Válido"), "Correcto", "Revisa")</f>
        <v>Revisa</v>
      </c>
    </row>
    <row r="22" spans="1:10" ht="14.4">
      <c r="A22" s="3" t="s">
        <v>62</v>
      </c>
      <c r="B22" s="3" t="s">
        <v>40</v>
      </c>
      <c r="C22" s="1" t="str">
        <f t="shared" si="0"/>
        <v>Laura Díaz</v>
      </c>
      <c r="D22" s="11">
        <v>46224</v>
      </c>
      <c r="E22" s="3" t="s">
        <v>26</v>
      </c>
      <c r="F22" s="12">
        <v>481</v>
      </c>
      <c r="G22" s="3" t="s">
        <v>41</v>
      </c>
      <c r="H22" s="13" t="str">
        <f t="shared" si="1"/>
        <v>Válido</v>
      </c>
      <c r="I22" s="9" t="str">
        <f t="shared" si="2"/>
        <v>Valido</v>
      </c>
      <c r="J22" s="10" t="str">
        <f>IF(AND(Pagos_50_Original!A22="Ana López", Pagos_50_Original!G22="Rechazada", H22="Válido", I22="Válido"), "Correcto", "Revisa")</f>
        <v>Revisa</v>
      </c>
    </row>
    <row r="23" spans="1:10" ht="14.4">
      <c r="A23" s="3" t="s">
        <v>63</v>
      </c>
      <c r="B23" s="3" t="s">
        <v>43</v>
      </c>
      <c r="C23" s="1" t="str">
        <f t="shared" si="0"/>
        <v>Miguel Soto</v>
      </c>
      <c r="D23" s="11">
        <v>46225</v>
      </c>
      <c r="E23" s="3" t="s">
        <v>30</v>
      </c>
      <c r="F23" s="12">
        <v>692.75</v>
      </c>
      <c r="G23" s="3" t="s">
        <v>44</v>
      </c>
      <c r="H23" s="13" t="str">
        <f t="shared" si="1"/>
        <v>Válido</v>
      </c>
      <c r="I23" s="9" t="str">
        <f t="shared" si="2"/>
        <v>Valido</v>
      </c>
      <c r="J23" s="10" t="str">
        <f>IF(AND(Pagos_50_Original!A23="Ana López", Pagos_50_Original!G23="Rechazada", H23="Válido", I23="Válido"), "Correcto", "Revisa")</f>
        <v>Revisa</v>
      </c>
    </row>
    <row r="24" spans="1:10" ht="14.4">
      <c r="A24" s="3" t="s">
        <v>64</v>
      </c>
      <c r="B24" s="3" t="s">
        <v>46</v>
      </c>
      <c r="C24" s="1" t="str">
        <f t="shared" si="0"/>
        <v>Sofía Ramos</v>
      </c>
      <c r="D24" s="11">
        <v>46226</v>
      </c>
      <c r="E24" s="3" t="s">
        <v>34</v>
      </c>
      <c r="F24" s="12">
        <v>904.5</v>
      </c>
      <c r="G24" s="3" t="s">
        <v>47</v>
      </c>
      <c r="H24" s="13" t="str">
        <f t="shared" si="1"/>
        <v>Válido</v>
      </c>
      <c r="I24" s="9" t="str">
        <f t="shared" si="2"/>
        <v>Valido</v>
      </c>
      <c r="J24" s="10" t="str">
        <f>IF(AND(Pagos_50_Original!A24="Ana López", Pagos_50_Original!G24="Rechazada", H24="Válido", I24="Válido"), "Correcto", "Revisa")</f>
        <v>Revisa</v>
      </c>
    </row>
    <row r="25" spans="1:10" ht="14.4">
      <c r="A25" s="3" t="s">
        <v>65</v>
      </c>
      <c r="B25" s="3" t="s">
        <v>49</v>
      </c>
      <c r="C25" s="1" t="str">
        <f t="shared" si="0"/>
        <v>Daniel Cruz</v>
      </c>
      <c r="D25" s="11">
        <v>46227</v>
      </c>
      <c r="E25" s="3" t="s">
        <v>38</v>
      </c>
      <c r="F25" s="12">
        <v>1114</v>
      </c>
      <c r="G25" s="3" t="s">
        <v>35</v>
      </c>
      <c r="H25" s="13" t="str">
        <f t="shared" si="1"/>
        <v>Válido</v>
      </c>
      <c r="I25" s="9" t="str">
        <f t="shared" si="2"/>
        <v>Valido</v>
      </c>
      <c r="J25" s="10" t="str">
        <f>IF(AND(Pagos_50_Original!A25="Ana López", Pagos_50_Original!G25="Rechazada", H25="Válido", I25="Válido"), "Correcto", "Revisa")</f>
        <v>Revisa</v>
      </c>
    </row>
    <row r="26" spans="1:10" ht="14.4">
      <c r="A26" s="3" t="s">
        <v>66</v>
      </c>
      <c r="B26" s="3" t="s">
        <v>25</v>
      </c>
      <c r="C26" s="1" t="str">
        <f t="shared" si="0"/>
        <v>Ana López</v>
      </c>
      <c r="D26" s="11">
        <v>46228</v>
      </c>
      <c r="E26" s="3" t="s">
        <v>26</v>
      </c>
      <c r="F26" s="12">
        <v>1325.75</v>
      </c>
      <c r="G26" s="3" t="s">
        <v>27</v>
      </c>
      <c r="H26" s="13" t="str">
        <f t="shared" si="1"/>
        <v>Válido</v>
      </c>
      <c r="I26" s="9" t="str">
        <f t="shared" si="2"/>
        <v>Valido</v>
      </c>
      <c r="J26" s="10" t="str">
        <f>IF(AND(Pagos_50_Original!A26="Ana López", Pagos_50_Original!G26="Rechazada", H26="Válido", I26="Válido"), "Correcto", "Revisa")</f>
        <v>Revisa</v>
      </c>
    </row>
    <row r="27" spans="1:10" ht="14.4">
      <c r="A27" s="3" t="s">
        <v>67</v>
      </c>
      <c r="B27" s="3" t="s">
        <v>29</v>
      </c>
      <c r="C27" s="1" t="str">
        <f t="shared" si="0"/>
        <v>Carlos Ruiz</v>
      </c>
      <c r="D27" s="11">
        <v>46204</v>
      </c>
      <c r="E27" s="3" t="s">
        <v>30</v>
      </c>
      <c r="F27" s="12">
        <v>1537.5</v>
      </c>
      <c r="G27" s="3" t="s">
        <v>31</v>
      </c>
      <c r="H27" s="13" t="str">
        <f t="shared" si="1"/>
        <v>Válido</v>
      </c>
      <c r="I27" s="9" t="str">
        <f t="shared" si="2"/>
        <v>Valido</v>
      </c>
      <c r="J27" s="10" t="str">
        <f>IF(AND(Pagos_50_Original!A27="Ana López", Pagos_50_Original!G27="Rechazada", H27="Válido", I27="Válido"), "Correcto", "Revisa")</f>
        <v>Revisa</v>
      </c>
    </row>
    <row r="28" spans="1:10" ht="14.4">
      <c r="A28" s="3" t="s">
        <v>68</v>
      </c>
      <c r="B28" s="3" t="s">
        <v>33</v>
      </c>
      <c r="C28" s="1" t="str">
        <f t="shared" si="0"/>
        <v>María Torres</v>
      </c>
      <c r="D28" s="11">
        <v>46205</v>
      </c>
      <c r="E28" s="3" t="s">
        <v>34</v>
      </c>
      <c r="F28" s="12">
        <v>1747</v>
      </c>
      <c r="G28" s="3" t="s">
        <v>35</v>
      </c>
      <c r="H28" s="13" t="str">
        <f t="shared" si="1"/>
        <v>Válido</v>
      </c>
      <c r="I28" s="9" t="str">
        <f t="shared" si="2"/>
        <v>Valido</v>
      </c>
      <c r="J28" s="10" t="str">
        <f>IF(AND(Pagos_50_Original!A28="Ana López", Pagos_50_Original!G28="Rechazada", H28="Válido", I28="Válido"), "Correcto", "Revisa")</f>
        <v>Revisa</v>
      </c>
    </row>
    <row r="29" spans="1:10" ht="14.4">
      <c r="A29" s="3" t="s">
        <v>69</v>
      </c>
      <c r="B29" s="3" t="s">
        <v>37</v>
      </c>
      <c r="C29" s="1" t="str">
        <f t="shared" si="0"/>
        <v>José Pérez</v>
      </c>
      <c r="D29" s="11">
        <v>46206</v>
      </c>
      <c r="E29" s="3" t="s">
        <v>38</v>
      </c>
      <c r="F29" s="12">
        <v>1958.75</v>
      </c>
      <c r="G29" s="3" t="s">
        <v>35</v>
      </c>
      <c r="H29" s="13" t="str">
        <f t="shared" si="1"/>
        <v>Válido</v>
      </c>
      <c r="I29" s="9" t="str">
        <f t="shared" si="2"/>
        <v>Valido</v>
      </c>
      <c r="J29" s="10" t="str">
        <f>IF(AND(Pagos_50_Original!A29="Ana López", Pagos_50_Original!G29="Rechazada", H29="Válido", I29="Válido"), "Correcto", "Revisa")</f>
        <v>Revisa</v>
      </c>
    </row>
    <row r="30" spans="1:10" ht="14.4">
      <c r="A30" s="3" t="s">
        <v>70</v>
      </c>
      <c r="B30" s="3" t="s">
        <v>40</v>
      </c>
      <c r="C30" s="1" t="str">
        <f t="shared" si="0"/>
        <v>Laura Díaz</v>
      </c>
      <c r="D30" s="11">
        <v>46207</v>
      </c>
      <c r="E30" s="3" t="s">
        <v>26</v>
      </c>
      <c r="F30" s="12"/>
      <c r="G30" s="3" t="s">
        <v>41</v>
      </c>
      <c r="H30" s="13" t="str">
        <f t="shared" si="1"/>
        <v>Válido</v>
      </c>
      <c r="I30" s="9" t="str">
        <f t="shared" si="2"/>
        <v>Valido</v>
      </c>
      <c r="J30" s="10" t="str">
        <f>IF(AND(Pagos_50_Original!A30="Ana López", Pagos_50_Original!G30="Rechazada", H30="Válido", I30="Válido"), "Correcto", "Revisa")</f>
        <v>Revisa</v>
      </c>
    </row>
    <row r="31" spans="1:10" ht="14.4">
      <c r="A31" s="3" t="s">
        <v>71</v>
      </c>
      <c r="B31" s="3" t="s">
        <v>43</v>
      </c>
      <c r="C31" s="1" t="str">
        <f t="shared" si="0"/>
        <v>Miguel Soto</v>
      </c>
      <c r="D31" s="11">
        <v>46208</v>
      </c>
      <c r="E31" s="3" t="s">
        <v>30</v>
      </c>
      <c r="F31" s="12">
        <v>2380</v>
      </c>
      <c r="G31" s="3" t="s">
        <v>44</v>
      </c>
      <c r="H31" s="13" t="str">
        <f t="shared" si="1"/>
        <v>Válido</v>
      </c>
      <c r="I31" s="9" t="str">
        <f t="shared" si="2"/>
        <v>Valido</v>
      </c>
      <c r="J31" s="10" t="str">
        <f>IF(AND(Pagos_50_Original!A31="Ana López", Pagos_50_Original!G31="Rechazada", H31="Válido", I31="Válido"), "Correcto", "Revisa")</f>
        <v>Revisa</v>
      </c>
    </row>
    <row r="32" spans="1:10" ht="14.4">
      <c r="A32" s="3" t="s">
        <v>72</v>
      </c>
      <c r="B32" s="3" t="s">
        <v>46</v>
      </c>
      <c r="C32" s="1" t="str">
        <f t="shared" si="0"/>
        <v>Sofía Ramos</v>
      </c>
      <c r="D32" s="11">
        <v>46209</v>
      </c>
      <c r="E32" s="3" t="s">
        <v>34</v>
      </c>
      <c r="F32" s="12">
        <v>2591.75</v>
      </c>
      <c r="G32" s="3" t="s">
        <v>47</v>
      </c>
      <c r="H32" s="13" t="str">
        <f t="shared" si="1"/>
        <v>Válido</v>
      </c>
      <c r="I32" s="9" t="str">
        <f t="shared" si="2"/>
        <v>Valido</v>
      </c>
      <c r="J32" s="10" t="str">
        <f>IF(AND(Pagos_50_Original!A32="Ana López", Pagos_50_Original!G32="Rechazada", H32="Válido", I32="Válido"), "Correcto", "Revisa")</f>
        <v>Revisa</v>
      </c>
    </row>
    <row r="33" spans="1:10" ht="14.4">
      <c r="A33" s="3" t="s">
        <v>73</v>
      </c>
      <c r="B33" s="3" t="s">
        <v>49</v>
      </c>
      <c r="C33" s="1" t="str">
        <f t="shared" si="0"/>
        <v>Daniel Cruz</v>
      </c>
      <c r="D33" s="11">
        <v>46210</v>
      </c>
      <c r="E33" s="3" t="s">
        <v>38</v>
      </c>
      <c r="F33" s="12">
        <v>2803.5</v>
      </c>
      <c r="G33" s="3" t="s">
        <v>35</v>
      </c>
      <c r="H33" s="13" t="str">
        <f t="shared" si="1"/>
        <v>Válido</v>
      </c>
      <c r="I33" s="9" t="str">
        <f t="shared" si="2"/>
        <v>Valido</v>
      </c>
      <c r="J33" s="10" t="str">
        <f>IF(AND(Pagos_50_Original!A33="Ana López", Pagos_50_Original!G33="Rechazada", H33="Válido", I33="Válido"), "Correcto", "Revisa")</f>
        <v>Revisa</v>
      </c>
    </row>
    <row r="34" spans="1:10" ht="14.4">
      <c r="A34" s="3" t="s">
        <v>74</v>
      </c>
      <c r="B34" s="3" t="s">
        <v>25</v>
      </c>
      <c r="C34" s="1" t="str">
        <f t="shared" ref="C34:C51" si="3">TRIM(B34)</f>
        <v>Ana López</v>
      </c>
      <c r="D34" s="11">
        <v>46211</v>
      </c>
      <c r="E34" s="3" t="s">
        <v>26</v>
      </c>
      <c r="F34" s="12">
        <v>3013</v>
      </c>
      <c r="G34" s="3" t="s">
        <v>27</v>
      </c>
      <c r="H34" s="13" t="str">
        <f t="shared" ref="H34:H51" si="4">IF(OR(E34&lt;=0),"Revisar","Válido")</f>
        <v>Válido</v>
      </c>
      <c r="I34" s="9" t="str">
        <f t="shared" si="2"/>
        <v>Valido</v>
      </c>
      <c r="J34" s="10" t="str">
        <f>IF(AND(Pagos_50_Original!A34="Ana López", Pagos_50_Original!G34="Rechazada", H34="Válido", I34="Válido"), "Correcto", "Revisa")</f>
        <v>Revisa</v>
      </c>
    </row>
    <row r="35" spans="1:10" ht="14.4">
      <c r="A35" s="3" t="s">
        <v>75</v>
      </c>
      <c r="B35" s="3" t="s">
        <v>29</v>
      </c>
      <c r="C35" s="1" t="str">
        <f t="shared" si="3"/>
        <v>Carlos Ruiz</v>
      </c>
      <c r="D35" s="11">
        <v>46212</v>
      </c>
      <c r="E35" s="3" t="s">
        <v>30</v>
      </c>
      <c r="F35" s="12">
        <v>3224.75</v>
      </c>
      <c r="G35" s="3" t="s">
        <v>31</v>
      </c>
      <c r="H35" s="13" t="str">
        <f t="shared" si="4"/>
        <v>Válido</v>
      </c>
      <c r="I35" s="9" t="str">
        <f t="shared" si="2"/>
        <v>Valido</v>
      </c>
      <c r="J35" s="10" t="str">
        <f>IF(AND(Pagos_50_Original!A35="Ana López", Pagos_50_Original!G35="Rechazada", H35="Válido", I35="Válido"), "Correcto", "Revisa")</f>
        <v>Revisa</v>
      </c>
    </row>
    <row r="36" spans="1:10" ht="14.4">
      <c r="A36" s="3" t="s">
        <v>76</v>
      </c>
      <c r="B36" s="3" t="s">
        <v>33</v>
      </c>
      <c r="C36" s="1" t="str">
        <f t="shared" si="3"/>
        <v>María Torres</v>
      </c>
      <c r="D36" s="11">
        <v>46213</v>
      </c>
      <c r="E36" s="3" t="s">
        <v>34</v>
      </c>
      <c r="F36" s="12">
        <v>3436.5</v>
      </c>
      <c r="G36" s="3" t="s">
        <v>35</v>
      </c>
      <c r="H36" s="13" t="str">
        <f t="shared" si="4"/>
        <v>Válido</v>
      </c>
      <c r="I36" s="9" t="str">
        <f t="shared" si="2"/>
        <v>Valido</v>
      </c>
      <c r="J36" s="10" t="str">
        <f>IF(AND(Pagos_50_Original!A36="Ana López", Pagos_50_Original!G36="Rechazada", H36="Válido", I36="Válido"), "Correcto", "Revisa")</f>
        <v>Revisa</v>
      </c>
    </row>
    <row r="37" spans="1:10" ht="14.4">
      <c r="A37" s="3" t="s">
        <v>77</v>
      </c>
      <c r="B37" s="3" t="s">
        <v>37</v>
      </c>
      <c r="C37" s="1" t="str">
        <f t="shared" si="3"/>
        <v>José Pérez</v>
      </c>
      <c r="D37" s="11">
        <v>46214</v>
      </c>
      <c r="E37" s="3" t="s">
        <v>38</v>
      </c>
      <c r="F37" s="12">
        <v>3646</v>
      </c>
      <c r="G37" s="3" t="s">
        <v>35</v>
      </c>
      <c r="H37" s="13" t="str">
        <f t="shared" si="4"/>
        <v>Válido</v>
      </c>
      <c r="I37" s="9" t="str">
        <f t="shared" si="2"/>
        <v>Valido</v>
      </c>
      <c r="J37" s="10" t="str">
        <f>IF(AND(Pagos_50_Original!A37="Ana López", Pagos_50_Original!G37="Rechazada", H37="Válido", I37="Válido"), "Correcto", "Revisa")</f>
        <v>Revisa</v>
      </c>
    </row>
    <row r="38" spans="1:10" ht="14.4">
      <c r="A38" s="3" t="s">
        <v>78</v>
      </c>
      <c r="B38" s="3" t="s">
        <v>40</v>
      </c>
      <c r="C38" s="1" t="str">
        <f t="shared" si="3"/>
        <v>Laura Díaz</v>
      </c>
      <c r="D38" s="11">
        <v>46215</v>
      </c>
      <c r="E38" s="3" t="s">
        <v>26</v>
      </c>
      <c r="F38" s="12">
        <v>3857.75</v>
      </c>
      <c r="G38" s="3" t="s">
        <v>41</v>
      </c>
      <c r="H38" s="13" t="str">
        <f t="shared" si="4"/>
        <v>Válido</v>
      </c>
      <c r="I38" s="9" t="str">
        <f t="shared" si="2"/>
        <v>Valido</v>
      </c>
      <c r="J38" s="10" t="str">
        <f>IF(AND(Pagos_50_Original!A38="Ana López", Pagos_50_Original!G38="Rechazada", H38="Válido", I38="Válido"), "Correcto", "Revisa")</f>
        <v>Revisa</v>
      </c>
    </row>
    <row r="39" spans="1:10" ht="14.4">
      <c r="A39" s="3" t="s">
        <v>79</v>
      </c>
      <c r="B39" s="3" t="s">
        <v>43</v>
      </c>
      <c r="C39" s="1" t="str">
        <f t="shared" si="3"/>
        <v>Miguel Soto</v>
      </c>
      <c r="D39" s="11">
        <v>46216</v>
      </c>
      <c r="E39" s="3" t="s">
        <v>30</v>
      </c>
      <c r="F39" s="12">
        <v>4069.5</v>
      </c>
      <c r="G39" s="3" t="s">
        <v>44</v>
      </c>
      <c r="H39" s="13" t="str">
        <f t="shared" si="4"/>
        <v>Válido</v>
      </c>
      <c r="I39" s="9" t="str">
        <f t="shared" si="2"/>
        <v>Valido</v>
      </c>
      <c r="J39" s="10" t="str">
        <f>IF(AND(Pagos_50_Original!A39="Ana López", Pagos_50_Original!G39="Rechazada", H39="Válido", I39="Válido"), "Correcto", "Revisa")</f>
        <v>Revisa</v>
      </c>
    </row>
    <row r="40" spans="1:10" ht="14.4">
      <c r="A40" s="3" t="s">
        <v>80</v>
      </c>
      <c r="B40" s="3" t="s">
        <v>46</v>
      </c>
      <c r="C40" s="1" t="str">
        <f t="shared" si="3"/>
        <v>Sofía Ramos</v>
      </c>
      <c r="D40" s="11">
        <v>46217</v>
      </c>
      <c r="E40" s="3" t="s">
        <v>34</v>
      </c>
      <c r="F40" s="12">
        <v>4279</v>
      </c>
      <c r="G40" s="3" t="s">
        <v>47</v>
      </c>
      <c r="H40" s="13" t="str">
        <f t="shared" si="4"/>
        <v>Válido</v>
      </c>
      <c r="I40" s="9" t="str">
        <f t="shared" si="2"/>
        <v>Valido</v>
      </c>
      <c r="J40" s="10" t="str">
        <f>IF(AND(Pagos_50_Original!A40="Ana López", Pagos_50_Original!G40="Rechazada", H40="Válido", I40="Válido"), "Correcto", "Revisa")</f>
        <v>Revisa</v>
      </c>
    </row>
    <row r="41" spans="1:10" ht="14.4">
      <c r="A41" s="3" t="s">
        <v>81</v>
      </c>
      <c r="B41" s="3" t="s">
        <v>49</v>
      </c>
      <c r="C41" s="1" t="str">
        <f t="shared" si="3"/>
        <v>Daniel Cruz</v>
      </c>
      <c r="D41" s="11">
        <v>46218</v>
      </c>
      <c r="E41" s="3" t="s">
        <v>38</v>
      </c>
      <c r="F41" s="12">
        <v>290.75</v>
      </c>
      <c r="G41" s="3" t="s">
        <v>35</v>
      </c>
      <c r="H41" s="13" t="str">
        <f t="shared" si="4"/>
        <v>Válido</v>
      </c>
      <c r="I41" s="9" t="str">
        <f t="shared" si="2"/>
        <v>Valido</v>
      </c>
      <c r="J41" s="10" t="str">
        <f>IF(AND(Pagos_50_Original!A41="Ana López", Pagos_50_Original!G41="Rechazada", H41="Válido", I41="Válido"), "Correcto", "Revisa")</f>
        <v>Revisa</v>
      </c>
    </row>
    <row r="42" spans="1:10" ht="14.4">
      <c r="A42" s="3" t="s">
        <v>82</v>
      </c>
      <c r="B42" s="3" t="s">
        <v>25</v>
      </c>
      <c r="C42" s="1" t="str">
        <f t="shared" si="3"/>
        <v>Ana López</v>
      </c>
      <c r="D42" s="11">
        <v>46219</v>
      </c>
      <c r="E42" s="3" t="s">
        <v>26</v>
      </c>
      <c r="F42" s="12"/>
      <c r="G42" s="3" t="s">
        <v>27</v>
      </c>
      <c r="H42" s="13" t="str">
        <f t="shared" si="4"/>
        <v>Válido</v>
      </c>
      <c r="I42" s="9" t="str">
        <f t="shared" si="2"/>
        <v>Valido</v>
      </c>
      <c r="J42" s="10" t="str">
        <f>IF(AND(Pagos_50_Original!A42="Ana López", Pagos_50_Original!G42="Rechazada", H42="Válido", I42="Válido"), "Correcto", "Revisa")</f>
        <v>Revisa</v>
      </c>
    </row>
    <row r="43" spans="1:10" ht="14.4">
      <c r="A43" s="3" t="s">
        <v>83</v>
      </c>
      <c r="B43" s="3" t="s">
        <v>29</v>
      </c>
      <c r="C43" s="1" t="str">
        <f t="shared" si="3"/>
        <v>Carlos Ruiz</v>
      </c>
      <c r="D43" s="11">
        <v>46220</v>
      </c>
      <c r="E43" s="3" t="s">
        <v>30</v>
      </c>
      <c r="F43" s="12">
        <v>712</v>
      </c>
      <c r="G43" s="3" t="s">
        <v>31</v>
      </c>
      <c r="H43" s="13" t="str">
        <f t="shared" si="4"/>
        <v>Válido</v>
      </c>
      <c r="I43" s="9" t="str">
        <f t="shared" si="2"/>
        <v>Valido</v>
      </c>
      <c r="J43" s="10" t="str">
        <f>IF(AND(Pagos_50_Original!A43="Ana López", Pagos_50_Original!G43="Rechazada", H43="Válido", I43="Válido"), "Correcto", "Revisa")</f>
        <v>Revisa</v>
      </c>
    </row>
    <row r="44" spans="1:10" ht="14.4">
      <c r="A44" s="3" t="s">
        <v>84</v>
      </c>
      <c r="B44" s="3" t="s">
        <v>33</v>
      </c>
      <c r="C44" s="1" t="str">
        <f t="shared" si="3"/>
        <v>María Torres</v>
      </c>
      <c r="D44" s="11">
        <v>46221</v>
      </c>
      <c r="E44" s="3" t="s">
        <v>34</v>
      </c>
      <c r="F44" s="12">
        <v>923.75</v>
      </c>
      <c r="G44" s="3" t="s">
        <v>35</v>
      </c>
      <c r="H44" s="13" t="str">
        <f t="shared" si="4"/>
        <v>Válido</v>
      </c>
      <c r="I44" s="9" t="str">
        <f t="shared" si="2"/>
        <v>Valido</v>
      </c>
      <c r="J44" s="10" t="str">
        <f>IF(AND(Pagos_50_Original!A44="Ana López", Pagos_50_Original!G44="Rechazada", H44="Válido", I44="Válido"), "Correcto", "Revisa")</f>
        <v>Revisa</v>
      </c>
    </row>
    <row r="45" spans="1:10" ht="14.4">
      <c r="A45" s="3" t="s">
        <v>85</v>
      </c>
      <c r="B45" s="3" t="s">
        <v>37</v>
      </c>
      <c r="C45" s="1" t="str">
        <f t="shared" si="3"/>
        <v>José Pérez</v>
      </c>
      <c r="D45" s="11">
        <v>46222</v>
      </c>
      <c r="E45" s="3" t="s">
        <v>38</v>
      </c>
      <c r="F45" s="12">
        <v>1135.5</v>
      </c>
      <c r="G45" s="3" t="s">
        <v>35</v>
      </c>
      <c r="H45" s="13" t="str">
        <f t="shared" si="4"/>
        <v>Válido</v>
      </c>
      <c r="I45" s="9" t="str">
        <f t="shared" si="2"/>
        <v>Valido</v>
      </c>
      <c r="J45" s="10" t="str">
        <f>IF(AND(Pagos_50_Original!A45="Ana López", Pagos_50_Original!G45="Rechazada", H45="Válido", I45="Válido"), "Correcto", "Revisa")</f>
        <v>Revisa</v>
      </c>
    </row>
    <row r="46" spans="1:10" ht="14.4">
      <c r="A46" s="3" t="s">
        <v>86</v>
      </c>
      <c r="B46" s="3" t="s">
        <v>40</v>
      </c>
      <c r="C46" s="1" t="str">
        <f t="shared" si="3"/>
        <v>Laura Díaz</v>
      </c>
      <c r="D46" s="11">
        <v>46223</v>
      </c>
      <c r="E46" s="3" t="s">
        <v>26</v>
      </c>
      <c r="F46" s="12">
        <v>1345</v>
      </c>
      <c r="G46" s="3" t="s">
        <v>41</v>
      </c>
      <c r="H46" s="13" t="str">
        <f t="shared" si="4"/>
        <v>Válido</v>
      </c>
      <c r="I46" s="9" t="str">
        <f t="shared" si="2"/>
        <v>Valido</v>
      </c>
      <c r="J46" s="10" t="str">
        <f>IF(AND(Pagos_50_Original!A46="Ana López", Pagos_50_Original!G46="Rechazada", H46="Válido", I46="Válido"), "Correcto", "Revisa")</f>
        <v>Revisa</v>
      </c>
    </row>
    <row r="47" spans="1:10" ht="14.4">
      <c r="A47" s="3" t="s">
        <v>87</v>
      </c>
      <c r="B47" s="3" t="s">
        <v>43</v>
      </c>
      <c r="C47" s="1" t="str">
        <f t="shared" si="3"/>
        <v>Miguel Soto</v>
      </c>
      <c r="D47" s="11">
        <v>46224</v>
      </c>
      <c r="E47" s="3" t="s">
        <v>30</v>
      </c>
      <c r="F47" s="12">
        <v>1556.75</v>
      </c>
      <c r="G47" s="3" t="s">
        <v>44</v>
      </c>
      <c r="H47" s="13" t="str">
        <f t="shared" si="4"/>
        <v>Válido</v>
      </c>
      <c r="I47" s="9" t="str">
        <f t="shared" si="2"/>
        <v>Valido</v>
      </c>
      <c r="J47" s="10" t="str">
        <f>IF(AND(Pagos_50_Original!A47="Ana López", Pagos_50_Original!G47="Rechazada", H47="Válido", I47="Válido"), "Correcto", "Revisa")</f>
        <v>Revisa</v>
      </c>
    </row>
    <row r="48" spans="1:10" ht="14.4">
      <c r="A48" s="3" t="s">
        <v>88</v>
      </c>
      <c r="B48" s="3" t="s">
        <v>46</v>
      </c>
      <c r="C48" s="1" t="str">
        <f t="shared" si="3"/>
        <v>Sofía Ramos</v>
      </c>
      <c r="D48" s="11">
        <v>46225</v>
      </c>
      <c r="E48" s="3" t="s">
        <v>34</v>
      </c>
      <c r="F48" s="12">
        <v>1768.5</v>
      </c>
      <c r="G48" s="3" t="s">
        <v>47</v>
      </c>
      <c r="H48" s="13" t="str">
        <f t="shared" si="4"/>
        <v>Válido</v>
      </c>
      <c r="I48" s="9" t="str">
        <f t="shared" si="2"/>
        <v>Valido</v>
      </c>
      <c r="J48" s="10" t="str">
        <f>IF(AND(Pagos_50_Original!A48="Ana López", Pagos_50_Original!G48="Rechazada", H48="Válido", I48="Válido"), "Correcto", "Revisa")</f>
        <v>Revisa</v>
      </c>
    </row>
    <row r="49" spans="1:10" ht="14.4">
      <c r="A49" s="3" t="s">
        <v>89</v>
      </c>
      <c r="B49" s="3" t="s">
        <v>49</v>
      </c>
      <c r="C49" s="1" t="str">
        <f t="shared" si="3"/>
        <v>Daniel Cruz</v>
      </c>
      <c r="D49" s="11">
        <v>46226</v>
      </c>
      <c r="E49" s="3" t="s">
        <v>38</v>
      </c>
      <c r="F49" s="12">
        <v>0</v>
      </c>
      <c r="G49" s="3" t="s">
        <v>35</v>
      </c>
      <c r="H49" s="13" t="str">
        <f t="shared" si="4"/>
        <v>Válido</v>
      </c>
      <c r="I49" s="9" t="str">
        <f t="shared" si="2"/>
        <v>Valido</v>
      </c>
      <c r="J49" s="10" t="str">
        <f>IF(AND(Pagos_50_Original!A49="Ana López", Pagos_50_Original!G49="Rechazada", H49="Válido", I49="Válido"), "Correcto", "Revisa")</f>
        <v>Revisa</v>
      </c>
    </row>
    <row r="50" spans="1:10" ht="14.4">
      <c r="A50" s="3" t="s">
        <v>90</v>
      </c>
      <c r="B50" s="3" t="s">
        <v>25</v>
      </c>
      <c r="C50" s="1" t="str">
        <f t="shared" si="3"/>
        <v>Ana López</v>
      </c>
      <c r="D50" s="11">
        <v>46227</v>
      </c>
      <c r="E50" s="3" t="s">
        <v>26</v>
      </c>
      <c r="F50" s="12">
        <v>2189.75</v>
      </c>
      <c r="G50" s="3" t="s">
        <v>27</v>
      </c>
      <c r="H50" s="13" t="str">
        <f t="shared" si="4"/>
        <v>Válido</v>
      </c>
      <c r="I50" s="9" t="str">
        <f t="shared" si="2"/>
        <v>Valido</v>
      </c>
      <c r="J50" s="10" t="str">
        <f>IF(AND(Pagos_50_Original!A50="Ana López", Pagos_50_Original!G50="Rechazada", H50="Válido", I50="Válido"), "Correcto", "Revisa")</f>
        <v>Revisa</v>
      </c>
    </row>
    <row r="51" spans="1:10" ht="14.4">
      <c r="A51" s="3" t="s">
        <v>91</v>
      </c>
      <c r="B51" s="3" t="s">
        <v>29</v>
      </c>
      <c r="C51" s="1" t="str">
        <f t="shared" si="3"/>
        <v>Carlos Ruiz</v>
      </c>
      <c r="D51" s="11">
        <v>46228</v>
      </c>
      <c r="E51" s="3" t="s">
        <v>30</v>
      </c>
      <c r="F51" s="12">
        <v>2401.5</v>
      </c>
      <c r="G51" s="3" t="s">
        <v>31</v>
      </c>
      <c r="H51" s="13" t="str">
        <f t="shared" si="4"/>
        <v>Válido</v>
      </c>
      <c r="I51" s="9" t="str">
        <f t="shared" si="2"/>
        <v>Valido</v>
      </c>
      <c r="J51" s="10" t="str">
        <f>IF(AND(Pagos_50_Original!A51="Ana López", Pagos_50_Original!G51="Rechazada", H51="Válido", I51="Válido"), "Correcto", "Revisa")</f>
        <v>Revisa</v>
      </c>
    </row>
  </sheetData>
  <conditionalFormatting sqref="I2:I51">
    <cfRule type="expression" dxfId="24" priority="1">
      <formula>I2="Revisar"</formula>
    </cfRule>
    <cfRule type="expression" dxfId="23" priority="2">
      <formula>I2="Válido"</formula>
    </cfRule>
  </conditionalFormatting>
  <conditionalFormatting sqref="I2:I51">
    <cfRule type="expression" dxfId="22" priority="3">
      <formula>I2="Revisar"</formula>
    </cfRule>
    <cfRule type="expression" dxfId="21" priority="4">
      <formula>I2="Válido"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1138-996C-4EE2-BDC1-1DBAD2F360B0}">
  <sheetPr>
    <tabColor rgb="FFFF0000"/>
  </sheetPr>
  <dimension ref="A1:L51"/>
  <sheetViews>
    <sheetView workbookViewId="0">
      <selection activeCell="A49" sqref="A49:XFD49"/>
    </sheetView>
  </sheetViews>
  <sheetFormatPr baseColWidth="10" defaultRowHeight="13.8"/>
  <cols>
    <col min="1" max="1" width="19.59765625" customWidth="1"/>
    <col min="2" max="2" width="20.296875" customWidth="1"/>
    <col min="4" max="4" width="20.69921875" customWidth="1"/>
    <col min="6" max="6" width="19.09765625" customWidth="1"/>
    <col min="7" max="7" width="16.09765625" customWidth="1"/>
    <col min="8" max="8" width="20.09765625" customWidth="1"/>
    <col min="9" max="9" width="15.5" customWidth="1"/>
    <col min="10" max="10" width="15.3984375" customWidth="1"/>
  </cols>
  <sheetData>
    <row r="1" spans="1:12">
      <c r="A1" s="23" t="s">
        <v>14</v>
      </c>
      <c r="B1" s="23" t="s">
        <v>19</v>
      </c>
      <c r="C1" s="23" t="s">
        <v>15</v>
      </c>
      <c r="D1" s="23" t="s">
        <v>16</v>
      </c>
      <c r="E1" s="23" t="s">
        <v>17</v>
      </c>
      <c r="F1" s="23" t="s">
        <v>18</v>
      </c>
      <c r="G1" s="23" t="s">
        <v>20</v>
      </c>
      <c r="H1" s="23" t="s">
        <v>21</v>
      </c>
      <c r="I1" s="23" t="s">
        <v>22</v>
      </c>
      <c r="J1" s="23" t="s">
        <v>23</v>
      </c>
    </row>
    <row r="2" spans="1:12" ht="14.4">
      <c r="A2" s="14" t="s">
        <v>25</v>
      </c>
      <c r="B2" s="14" t="str">
        <f t="shared" ref="B2:B51" si="0">TRIM(A2)</f>
        <v>Ana López</v>
      </c>
      <c r="C2" s="15">
        <v>46204</v>
      </c>
      <c r="D2" s="14" t="s">
        <v>26</v>
      </c>
      <c r="E2" s="16">
        <v>461.75</v>
      </c>
      <c r="F2" s="14" t="s">
        <v>27</v>
      </c>
      <c r="G2" s="17" t="str">
        <f t="shared" ref="G2:G33" si="1">TRIM(F2)</f>
        <v>Rechazada</v>
      </c>
      <c r="H2" s="18" t="str">
        <f t="shared" ref="H2:H51" si="2">IF(OR(G2="Aprobada",G2="Rechazada",G2="Pendiente",G2="Cancelada"),"Válido","Revisar")</f>
        <v>Válido</v>
      </c>
      <c r="I2" s="17" t="str">
        <f t="shared" ref="I2:I33" si="3">IF(OR(E2="",E2=0),"Revisar","Válido")</f>
        <v>Válido</v>
      </c>
      <c r="J2" s="22" t="str">
        <f t="shared" ref="J2:J33" si="4">IF(H2&lt;&gt;"Válido","Revisa",IF(I2&lt;&gt;"Válido","Revisa","Correcto"))</f>
        <v>Correcto</v>
      </c>
    </row>
    <row r="3" spans="1:12" ht="14.4">
      <c r="A3" s="19" t="s">
        <v>29</v>
      </c>
      <c r="B3" s="19" t="str">
        <f t="shared" si="0"/>
        <v>Carlos Ruiz</v>
      </c>
      <c r="C3" s="20">
        <v>46205</v>
      </c>
      <c r="D3" s="19" t="s">
        <v>30</v>
      </c>
      <c r="E3" s="21">
        <v>673.5</v>
      </c>
      <c r="F3" s="19" t="s">
        <v>31</v>
      </c>
      <c r="G3" s="17" t="str">
        <f t="shared" si="1"/>
        <v>RECHAZADA</v>
      </c>
      <c r="H3" s="18" t="str">
        <f t="shared" si="2"/>
        <v>Válido</v>
      </c>
      <c r="I3" s="17" t="str">
        <f t="shared" si="3"/>
        <v>Válido</v>
      </c>
      <c r="J3" s="22" t="str">
        <f t="shared" si="4"/>
        <v>Correcto</v>
      </c>
    </row>
    <row r="4" spans="1:12" ht="14.4">
      <c r="A4" s="14" t="s">
        <v>33</v>
      </c>
      <c r="B4" s="14" t="str">
        <f t="shared" si="0"/>
        <v>María Torres</v>
      </c>
      <c r="C4" s="15">
        <v>46206</v>
      </c>
      <c r="D4" s="14" t="s">
        <v>34</v>
      </c>
      <c r="E4" s="16">
        <v>883</v>
      </c>
      <c r="F4" s="14" t="s">
        <v>35</v>
      </c>
      <c r="G4" s="17" t="str">
        <f t="shared" si="1"/>
        <v>Aprobada</v>
      </c>
      <c r="H4" s="18" t="str">
        <f t="shared" si="2"/>
        <v>Válido</v>
      </c>
      <c r="I4" s="17" t="str">
        <f t="shared" si="3"/>
        <v>Válido</v>
      </c>
      <c r="J4" s="22" t="str">
        <f t="shared" si="4"/>
        <v>Correcto</v>
      </c>
    </row>
    <row r="5" spans="1:12" ht="14.4">
      <c r="A5" s="19" t="s">
        <v>37</v>
      </c>
      <c r="B5" s="19" t="str">
        <f t="shared" si="0"/>
        <v>José Pérez</v>
      </c>
      <c r="C5" s="20">
        <v>46207</v>
      </c>
      <c r="D5" s="19" t="s">
        <v>38</v>
      </c>
      <c r="E5" s="21">
        <v>1094.75</v>
      </c>
      <c r="F5" s="19" t="s">
        <v>35</v>
      </c>
      <c r="G5" s="17" t="str">
        <f t="shared" si="1"/>
        <v>Aprobada</v>
      </c>
      <c r="H5" s="18" t="str">
        <f t="shared" si="2"/>
        <v>Válido</v>
      </c>
      <c r="I5" s="17" t="str">
        <f t="shared" si="3"/>
        <v>Válido</v>
      </c>
      <c r="J5" s="22" t="str">
        <f t="shared" si="4"/>
        <v>Correcto</v>
      </c>
    </row>
    <row r="6" spans="1:12" ht="14.4">
      <c r="A6" s="14" t="s">
        <v>40</v>
      </c>
      <c r="B6" s="14" t="str">
        <f t="shared" si="0"/>
        <v>Laura Díaz</v>
      </c>
      <c r="C6" s="15">
        <v>46208</v>
      </c>
      <c r="D6" s="14" t="s">
        <v>26</v>
      </c>
      <c r="E6" s="16">
        <v>1306.5</v>
      </c>
      <c r="F6" s="14" t="s">
        <v>41</v>
      </c>
      <c r="G6" s="17" t="str">
        <f t="shared" si="1"/>
        <v>Cancelada</v>
      </c>
      <c r="H6" s="18" t="str">
        <f t="shared" si="2"/>
        <v>Válido</v>
      </c>
      <c r="I6" s="17" t="str">
        <f t="shared" si="3"/>
        <v>Válido</v>
      </c>
      <c r="J6" s="22" t="str">
        <f t="shared" si="4"/>
        <v>Correcto</v>
      </c>
    </row>
    <row r="7" spans="1:12" ht="14.4">
      <c r="A7" s="19" t="s">
        <v>43</v>
      </c>
      <c r="B7" s="19" t="str">
        <f t="shared" si="0"/>
        <v>Miguel Soto</v>
      </c>
      <c r="C7" s="20">
        <v>46209</v>
      </c>
      <c r="D7" s="19" t="s">
        <v>30</v>
      </c>
      <c r="E7" s="21">
        <v>1516</v>
      </c>
      <c r="F7" s="19" t="s">
        <v>44</v>
      </c>
      <c r="G7" s="17" t="str">
        <f t="shared" si="1"/>
        <v>Pendiente</v>
      </c>
      <c r="H7" s="18" t="str">
        <f t="shared" si="2"/>
        <v>Válido</v>
      </c>
      <c r="I7" s="17" t="str">
        <f t="shared" si="3"/>
        <v>Válido</v>
      </c>
      <c r="J7" s="22" t="str">
        <f t="shared" si="4"/>
        <v>Correcto</v>
      </c>
    </row>
    <row r="8" spans="1:12" ht="14.4">
      <c r="A8" s="14" t="s">
        <v>46</v>
      </c>
      <c r="B8" s="14" t="str">
        <f t="shared" si="0"/>
        <v>Sofía Ramos</v>
      </c>
      <c r="C8" s="15">
        <v>46210</v>
      </c>
      <c r="D8" s="14" t="s">
        <v>34</v>
      </c>
      <c r="E8" s="16">
        <v>1727.75</v>
      </c>
      <c r="F8" s="14" t="s">
        <v>47</v>
      </c>
      <c r="G8" s="17" t="str">
        <f t="shared" si="1"/>
        <v>pendiente</v>
      </c>
      <c r="H8" s="18" t="str">
        <f t="shared" si="2"/>
        <v>Válido</v>
      </c>
      <c r="I8" s="17" t="str">
        <f t="shared" si="3"/>
        <v>Válido</v>
      </c>
      <c r="J8" s="22" t="str">
        <f t="shared" si="4"/>
        <v>Correcto</v>
      </c>
    </row>
    <row r="9" spans="1:12" ht="14.4">
      <c r="A9" s="19" t="s">
        <v>49</v>
      </c>
      <c r="B9" s="19" t="str">
        <f t="shared" si="0"/>
        <v>Daniel Cruz</v>
      </c>
      <c r="C9" s="20">
        <v>46211</v>
      </c>
      <c r="D9" s="19" t="s">
        <v>38</v>
      </c>
      <c r="E9" s="21">
        <v>0</v>
      </c>
      <c r="F9" s="19" t="s">
        <v>35</v>
      </c>
      <c r="G9" s="17" t="str">
        <f t="shared" si="1"/>
        <v>Aprobada</v>
      </c>
      <c r="H9" s="18" t="str">
        <f t="shared" si="2"/>
        <v>Válido</v>
      </c>
      <c r="I9" s="17" t="str">
        <f>IF(OR(E9="",E9=0),"Revisar","Válido")</f>
        <v>Revisar</v>
      </c>
      <c r="J9" s="22" t="str">
        <f t="shared" si="4"/>
        <v>Revisa</v>
      </c>
    </row>
    <row r="10" spans="1:12" ht="14.4">
      <c r="A10" s="14" t="s">
        <v>25</v>
      </c>
      <c r="B10" s="14" t="str">
        <f t="shared" si="0"/>
        <v>Ana López</v>
      </c>
      <c r="C10" s="15">
        <v>46212</v>
      </c>
      <c r="D10" s="14" t="s">
        <v>26</v>
      </c>
      <c r="E10" s="16">
        <v>2149</v>
      </c>
      <c r="F10" s="14" t="s">
        <v>27</v>
      </c>
      <c r="G10" s="17" t="str">
        <f t="shared" si="1"/>
        <v>Rechazada</v>
      </c>
      <c r="H10" s="18" t="str">
        <f t="shared" si="2"/>
        <v>Válido</v>
      </c>
      <c r="I10" s="17" t="str">
        <f t="shared" si="3"/>
        <v>Válido</v>
      </c>
      <c r="J10" s="22" t="str">
        <f t="shared" si="4"/>
        <v>Correcto</v>
      </c>
    </row>
    <row r="11" spans="1:12" ht="14.4">
      <c r="A11" s="19" t="s">
        <v>29</v>
      </c>
      <c r="B11" s="19" t="str">
        <f t="shared" si="0"/>
        <v>Carlos Ruiz</v>
      </c>
      <c r="C11" s="20">
        <v>46213</v>
      </c>
      <c r="D11" s="19" t="s">
        <v>30</v>
      </c>
      <c r="E11" s="21">
        <v>2360.75</v>
      </c>
      <c r="F11" s="19" t="s">
        <v>31</v>
      </c>
      <c r="G11" s="17" t="str">
        <f t="shared" si="1"/>
        <v>RECHAZADA</v>
      </c>
      <c r="H11" s="18" t="str">
        <f t="shared" si="2"/>
        <v>Válido</v>
      </c>
      <c r="I11" s="17" t="str">
        <f t="shared" si="3"/>
        <v>Válido</v>
      </c>
      <c r="J11" s="22" t="str">
        <f t="shared" si="4"/>
        <v>Correcto</v>
      </c>
      <c r="L11" s="28"/>
    </row>
    <row r="12" spans="1:12" ht="14.4">
      <c r="A12" s="14" t="s">
        <v>33</v>
      </c>
      <c r="B12" s="14" t="str">
        <f t="shared" si="0"/>
        <v>María Torres</v>
      </c>
      <c r="C12" s="15">
        <v>46214</v>
      </c>
      <c r="D12" s="14" t="s">
        <v>34</v>
      </c>
      <c r="E12" s="16">
        <v>2572.5</v>
      </c>
      <c r="F12" s="14" t="s">
        <v>35</v>
      </c>
      <c r="G12" s="17" t="str">
        <f t="shared" si="1"/>
        <v>Aprobada</v>
      </c>
      <c r="H12" s="18" t="str">
        <f t="shared" si="2"/>
        <v>Válido</v>
      </c>
      <c r="I12" s="17" t="str">
        <f t="shared" si="3"/>
        <v>Válido</v>
      </c>
      <c r="J12" s="22" t="str">
        <f t="shared" si="4"/>
        <v>Correcto</v>
      </c>
    </row>
    <row r="13" spans="1:12" ht="14.4">
      <c r="A13" s="19" t="s">
        <v>37</v>
      </c>
      <c r="B13" s="19" t="str">
        <f t="shared" si="0"/>
        <v>José Pérez</v>
      </c>
      <c r="C13" s="20">
        <v>46215</v>
      </c>
      <c r="D13" s="19" t="s">
        <v>38</v>
      </c>
      <c r="E13" s="21">
        <v>2782</v>
      </c>
      <c r="F13" s="19" t="s">
        <v>35</v>
      </c>
      <c r="G13" s="17" t="str">
        <f t="shared" si="1"/>
        <v>Aprobada</v>
      </c>
      <c r="H13" s="18" t="str">
        <f t="shared" si="2"/>
        <v>Válido</v>
      </c>
      <c r="I13" s="17" t="str">
        <f t="shared" si="3"/>
        <v>Válido</v>
      </c>
      <c r="J13" s="22" t="str">
        <f t="shared" si="4"/>
        <v>Correcto</v>
      </c>
    </row>
    <row r="14" spans="1:12" ht="14.4">
      <c r="A14" s="14" t="s">
        <v>40</v>
      </c>
      <c r="B14" s="14" t="str">
        <f t="shared" si="0"/>
        <v>Laura Díaz</v>
      </c>
      <c r="C14" s="15">
        <v>46216</v>
      </c>
      <c r="D14" s="14" t="s">
        <v>26</v>
      </c>
      <c r="E14" s="16">
        <v>2993.75</v>
      </c>
      <c r="F14" s="14" t="s">
        <v>41</v>
      </c>
      <c r="G14" s="17" t="str">
        <f t="shared" si="1"/>
        <v>Cancelada</v>
      </c>
      <c r="H14" s="18" t="str">
        <f t="shared" si="2"/>
        <v>Válido</v>
      </c>
      <c r="I14" s="17" t="str">
        <f t="shared" si="3"/>
        <v>Válido</v>
      </c>
      <c r="J14" s="22" t="str">
        <f t="shared" si="4"/>
        <v>Correcto</v>
      </c>
    </row>
    <row r="15" spans="1:12" ht="14.4">
      <c r="A15" s="19" t="s">
        <v>43</v>
      </c>
      <c r="B15" s="19" t="str">
        <f t="shared" si="0"/>
        <v>Miguel Soto</v>
      </c>
      <c r="C15" s="20">
        <v>46217</v>
      </c>
      <c r="D15" s="19" t="s">
        <v>30</v>
      </c>
      <c r="E15" s="21">
        <v>3205.5</v>
      </c>
      <c r="F15" s="19" t="s">
        <v>44</v>
      </c>
      <c r="G15" s="17" t="str">
        <f t="shared" si="1"/>
        <v>Pendiente</v>
      </c>
      <c r="H15" s="18" t="str">
        <f t="shared" si="2"/>
        <v>Válido</v>
      </c>
      <c r="I15" s="17" t="str">
        <f t="shared" si="3"/>
        <v>Válido</v>
      </c>
      <c r="J15" s="22" t="str">
        <f t="shared" si="4"/>
        <v>Correcto</v>
      </c>
    </row>
    <row r="16" spans="1:12" ht="14.4">
      <c r="A16" s="14" t="s">
        <v>46</v>
      </c>
      <c r="B16" s="14" t="str">
        <f t="shared" si="0"/>
        <v>Sofía Ramos</v>
      </c>
      <c r="C16" s="15">
        <v>46218</v>
      </c>
      <c r="D16" s="14" t="s">
        <v>34</v>
      </c>
      <c r="E16" s="16">
        <v>3415</v>
      </c>
      <c r="F16" s="14" t="s">
        <v>47</v>
      </c>
      <c r="G16" s="17" t="str">
        <f t="shared" si="1"/>
        <v>pendiente</v>
      </c>
      <c r="H16" s="18" t="str">
        <f t="shared" si="2"/>
        <v>Válido</v>
      </c>
      <c r="I16" s="17" t="str">
        <f t="shared" si="3"/>
        <v>Válido</v>
      </c>
      <c r="J16" s="22" t="str">
        <f t="shared" si="4"/>
        <v>Correcto</v>
      </c>
    </row>
    <row r="17" spans="1:10" ht="14.4">
      <c r="A17" s="19" t="s">
        <v>49</v>
      </c>
      <c r="B17" s="19" t="str">
        <f t="shared" si="0"/>
        <v>Daniel Cruz</v>
      </c>
      <c r="C17" s="20">
        <v>46219</v>
      </c>
      <c r="D17" s="19" t="s">
        <v>38</v>
      </c>
      <c r="E17" s="21">
        <v>3626.75</v>
      </c>
      <c r="F17" s="19" t="s">
        <v>35</v>
      </c>
      <c r="G17" s="17" t="str">
        <f t="shared" si="1"/>
        <v>Aprobada</v>
      </c>
      <c r="H17" s="18" t="str">
        <f t="shared" si="2"/>
        <v>Válido</v>
      </c>
      <c r="I17" s="17" t="str">
        <f t="shared" si="3"/>
        <v>Válido</v>
      </c>
      <c r="J17" s="22" t="str">
        <f t="shared" si="4"/>
        <v>Correcto</v>
      </c>
    </row>
    <row r="18" spans="1:10" ht="14.4">
      <c r="A18" s="14" t="s">
        <v>25</v>
      </c>
      <c r="B18" s="14" t="str">
        <f t="shared" si="0"/>
        <v>Ana López</v>
      </c>
      <c r="C18" s="15">
        <v>46220</v>
      </c>
      <c r="D18" s="14" t="s">
        <v>26</v>
      </c>
      <c r="E18" s="16"/>
      <c r="F18" s="14" t="s">
        <v>27</v>
      </c>
      <c r="G18" s="17" t="str">
        <f t="shared" si="1"/>
        <v>Rechazada</v>
      </c>
      <c r="H18" s="18" t="str">
        <f t="shared" si="2"/>
        <v>Válido</v>
      </c>
      <c r="I18" s="17" t="str">
        <f t="shared" si="3"/>
        <v>Revisar</v>
      </c>
      <c r="J18" s="22" t="str">
        <f t="shared" si="4"/>
        <v>Revisa</v>
      </c>
    </row>
    <row r="19" spans="1:10" ht="14.4">
      <c r="A19" s="19" t="s">
        <v>29</v>
      </c>
      <c r="B19" s="19" t="str">
        <f t="shared" si="0"/>
        <v>Carlos Ruiz</v>
      </c>
      <c r="C19" s="20">
        <v>46221</v>
      </c>
      <c r="D19" s="19" t="s">
        <v>30</v>
      </c>
      <c r="E19" s="21">
        <v>4048</v>
      </c>
      <c r="F19" s="19" t="s">
        <v>31</v>
      </c>
      <c r="G19" s="17" t="str">
        <f t="shared" si="1"/>
        <v>RECHAZADA</v>
      </c>
      <c r="H19" s="18" t="str">
        <f t="shared" si="2"/>
        <v>Válido</v>
      </c>
      <c r="I19" s="17" t="str">
        <f t="shared" si="3"/>
        <v>Válido</v>
      </c>
      <c r="J19" s="22" t="str">
        <f t="shared" si="4"/>
        <v>Correcto</v>
      </c>
    </row>
    <row r="20" spans="1:10" ht="14.4">
      <c r="A20" s="14" t="s">
        <v>33</v>
      </c>
      <c r="B20" s="14" t="str">
        <f t="shared" si="0"/>
        <v>María Torres</v>
      </c>
      <c r="C20" s="15">
        <v>46222</v>
      </c>
      <c r="D20" s="14" t="s">
        <v>34</v>
      </c>
      <c r="E20" s="16">
        <v>4259.75</v>
      </c>
      <c r="F20" s="14" t="s">
        <v>35</v>
      </c>
      <c r="G20" s="17" t="str">
        <f t="shared" si="1"/>
        <v>Aprobada</v>
      </c>
      <c r="H20" s="18" t="str">
        <f t="shared" si="2"/>
        <v>Válido</v>
      </c>
      <c r="I20" s="17" t="str">
        <f t="shared" si="3"/>
        <v>Válido</v>
      </c>
      <c r="J20" s="22" t="str">
        <f t="shared" si="4"/>
        <v>Correcto</v>
      </c>
    </row>
    <row r="21" spans="1:10" ht="14.4">
      <c r="A21" s="19" t="s">
        <v>125</v>
      </c>
      <c r="B21" s="19" t="str">
        <f t="shared" si="0"/>
        <v>José Pérez</v>
      </c>
      <c r="C21" s="20">
        <v>46223</v>
      </c>
      <c r="D21" s="19" t="s">
        <v>38</v>
      </c>
      <c r="E21" s="21">
        <v>271.5</v>
      </c>
      <c r="F21" s="19" t="s">
        <v>35</v>
      </c>
      <c r="G21" s="17" t="str">
        <f t="shared" si="1"/>
        <v>Aprobada</v>
      </c>
      <c r="H21" s="18" t="str">
        <f t="shared" si="2"/>
        <v>Válido</v>
      </c>
      <c r="I21" s="17" t="str">
        <f t="shared" si="3"/>
        <v>Válido</v>
      </c>
      <c r="J21" s="22" t="str">
        <f t="shared" si="4"/>
        <v>Correcto</v>
      </c>
    </row>
    <row r="22" spans="1:10" ht="14.4">
      <c r="A22" s="14" t="s">
        <v>40</v>
      </c>
      <c r="B22" s="14" t="str">
        <f t="shared" si="0"/>
        <v>Laura Díaz</v>
      </c>
      <c r="C22" s="15">
        <v>46224</v>
      </c>
      <c r="D22" s="14" t="s">
        <v>26</v>
      </c>
      <c r="E22" s="16">
        <v>481</v>
      </c>
      <c r="F22" s="14" t="s">
        <v>41</v>
      </c>
      <c r="G22" s="17" t="str">
        <f t="shared" si="1"/>
        <v>Cancelada</v>
      </c>
      <c r="H22" s="18" t="str">
        <f t="shared" si="2"/>
        <v>Válido</v>
      </c>
      <c r="I22" s="17" t="str">
        <f t="shared" si="3"/>
        <v>Válido</v>
      </c>
      <c r="J22" s="22" t="str">
        <f t="shared" si="4"/>
        <v>Correcto</v>
      </c>
    </row>
    <row r="23" spans="1:10" ht="14.4">
      <c r="A23" s="19" t="s">
        <v>43</v>
      </c>
      <c r="B23" s="19" t="str">
        <f t="shared" si="0"/>
        <v>Miguel Soto</v>
      </c>
      <c r="C23" s="20">
        <v>46225</v>
      </c>
      <c r="D23" s="19" t="s">
        <v>30</v>
      </c>
      <c r="E23" s="21">
        <v>692.75</v>
      </c>
      <c r="F23" s="19" t="s">
        <v>44</v>
      </c>
      <c r="G23" s="17" t="str">
        <f t="shared" si="1"/>
        <v>Pendiente</v>
      </c>
      <c r="H23" s="18" t="str">
        <f t="shared" si="2"/>
        <v>Válido</v>
      </c>
      <c r="I23" s="17" t="str">
        <f t="shared" si="3"/>
        <v>Válido</v>
      </c>
      <c r="J23" s="22" t="str">
        <f t="shared" si="4"/>
        <v>Correcto</v>
      </c>
    </row>
    <row r="24" spans="1:10" ht="14.4">
      <c r="A24" s="14" t="s">
        <v>46</v>
      </c>
      <c r="B24" s="14" t="str">
        <f t="shared" si="0"/>
        <v>Sofía Ramos</v>
      </c>
      <c r="C24" s="15">
        <v>46226</v>
      </c>
      <c r="D24" s="14" t="s">
        <v>34</v>
      </c>
      <c r="E24" s="16">
        <v>904.5</v>
      </c>
      <c r="F24" s="14" t="s">
        <v>47</v>
      </c>
      <c r="G24" s="17" t="str">
        <f t="shared" si="1"/>
        <v>pendiente</v>
      </c>
      <c r="H24" s="18" t="str">
        <f t="shared" si="2"/>
        <v>Válido</v>
      </c>
      <c r="I24" s="17" t="str">
        <f t="shared" si="3"/>
        <v>Válido</v>
      </c>
      <c r="J24" s="22" t="str">
        <f t="shared" si="4"/>
        <v>Correcto</v>
      </c>
    </row>
    <row r="25" spans="1:10" ht="14.4">
      <c r="A25" s="19" t="s">
        <v>49</v>
      </c>
      <c r="B25" s="19" t="str">
        <f t="shared" si="0"/>
        <v>Daniel Cruz</v>
      </c>
      <c r="C25" s="20">
        <v>46227</v>
      </c>
      <c r="D25" s="19" t="s">
        <v>38</v>
      </c>
      <c r="E25" s="21">
        <v>1114</v>
      </c>
      <c r="F25" s="19" t="s">
        <v>35</v>
      </c>
      <c r="G25" s="17" t="str">
        <f t="shared" si="1"/>
        <v>Aprobada</v>
      </c>
      <c r="H25" s="18" t="str">
        <f t="shared" si="2"/>
        <v>Válido</v>
      </c>
      <c r="I25" s="17" t="str">
        <f t="shared" si="3"/>
        <v>Válido</v>
      </c>
      <c r="J25" s="22" t="str">
        <f t="shared" si="4"/>
        <v>Correcto</v>
      </c>
    </row>
    <row r="26" spans="1:10" ht="14.4">
      <c r="A26" s="14" t="s">
        <v>25</v>
      </c>
      <c r="B26" s="14" t="str">
        <f t="shared" si="0"/>
        <v>Ana López</v>
      </c>
      <c r="C26" s="15">
        <v>46228</v>
      </c>
      <c r="D26" s="14" t="s">
        <v>26</v>
      </c>
      <c r="E26" s="16">
        <v>1325.75</v>
      </c>
      <c r="F26" s="14" t="s">
        <v>27</v>
      </c>
      <c r="G26" s="17" t="str">
        <f t="shared" si="1"/>
        <v>Rechazada</v>
      </c>
      <c r="H26" s="18" t="str">
        <f t="shared" si="2"/>
        <v>Válido</v>
      </c>
      <c r="I26" s="17" t="str">
        <f t="shared" si="3"/>
        <v>Válido</v>
      </c>
      <c r="J26" s="22" t="str">
        <f t="shared" si="4"/>
        <v>Correcto</v>
      </c>
    </row>
    <row r="27" spans="1:10" ht="14.4">
      <c r="A27" s="19" t="s">
        <v>29</v>
      </c>
      <c r="B27" s="19" t="str">
        <f t="shared" si="0"/>
        <v>Carlos Ruiz</v>
      </c>
      <c r="C27" s="20">
        <v>46204</v>
      </c>
      <c r="D27" s="19" t="s">
        <v>30</v>
      </c>
      <c r="E27" s="21">
        <v>1537.5</v>
      </c>
      <c r="F27" s="19" t="s">
        <v>31</v>
      </c>
      <c r="G27" s="17" t="str">
        <f t="shared" si="1"/>
        <v>RECHAZADA</v>
      </c>
      <c r="H27" s="18" t="str">
        <f t="shared" si="2"/>
        <v>Válido</v>
      </c>
      <c r="I27" s="17" t="str">
        <f t="shared" si="3"/>
        <v>Válido</v>
      </c>
      <c r="J27" s="22" t="str">
        <f t="shared" si="4"/>
        <v>Correcto</v>
      </c>
    </row>
    <row r="28" spans="1:10" ht="14.4">
      <c r="A28" s="14" t="s">
        <v>33</v>
      </c>
      <c r="B28" s="14" t="str">
        <f t="shared" si="0"/>
        <v>María Torres</v>
      </c>
      <c r="C28" s="15">
        <v>46205</v>
      </c>
      <c r="D28" s="14" t="s">
        <v>34</v>
      </c>
      <c r="E28" s="16">
        <v>1747</v>
      </c>
      <c r="F28" s="14" t="s">
        <v>35</v>
      </c>
      <c r="G28" s="17" t="str">
        <f t="shared" si="1"/>
        <v>Aprobada</v>
      </c>
      <c r="H28" s="18" t="str">
        <f t="shared" si="2"/>
        <v>Válido</v>
      </c>
      <c r="I28" s="17" t="str">
        <f t="shared" si="3"/>
        <v>Válido</v>
      </c>
      <c r="J28" s="22" t="str">
        <f t="shared" si="4"/>
        <v>Correcto</v>
      </c>
    </row>
    <row r="29" spans="1:10" ht="14.4">
      <c r="A29" s="19" t="s">
        <v>37</v>
      </c>
      <c r="B29" s="19" t="str">
        <f t="shared" si="0"/>
        <v>José Pérez</v>
      </c>
      <c r="C29" s="20">
        <v>46206</v>
      </c>
      <c r="D29" s="19" t="s">
        <v>38</v>
      </c>
      <c r="E29" s="21">
        <v>1958.75</v>
      </c>
      <c r="F29" s="19" t="s">
        <v>35</v>
      </c>
      <c r="G29" s="17" t="str">
        <f t="shared" si="1"/>
        <v>Aprobada</v>
      </c>
      <c r="H29" s="18" t="str">
        <f t="shared" si="2"/>
        <v>Válido</v>
      </c>
      <c r="I29" s="17" t="str">
        <f t="shared" si="3"/>
        <v>Válido</v>
      </c>
      <c r="J29" s="22" t="str">
        <f t="shared" si="4"/>
        <v>Correcto</v>
      </c>
    </row>
    <row r="30" spans="1:10" ht="13.8" customHeight="1">
      <c r="A30" s="14" t="s">
        <v>40</v>
      </c>
      <c r="B30" s="14" t="str">
        <f t="shared" si="0"/>
        <v>Laura Díaz</v>
      </c>
      <c r="C30" s="15">
        <v>46207</v>
      </c>
      <c r="D30" s="14" t="s">
        <v>26</v>
      </c>
      <c r="E30" s="16"/>
      <c r="F30" s="14" t="s">
        <v>41</v>
      </c>
      <c r="G30" s="17" t="str">
        <f t="shared" si="1"/>
        <v>Cancelada</v>
      </c>
      <c r="H30" s="18" t="str">
        <f t="shared" si="2"/>
        <v>Válido</v>
      </c>
      <c r="I30" s="17" t="str">
        <f t="shared" si="3"/>
        <v>Revisar</v>
      </c>
      <c r="J30" s="22" t="str">
        <f t="shared" si="4"/>
        <v>Revisa</v>
      </c>
    </row>
    <row r="31" spans="1:10" ht="14.4">
      <c r="A31" s="19" t="s">
        <v>43</v>
      </c>
      <c r="B31" s="19" t="str">
        <f t="shared" si="0"/>
        <v>Miguel Soto</v>
      </c>
      <c r="C31" s="20">
        <v>46208</v>
      </c>
      <c r="D31" s="19" t="s">
        <v>30</v>
      </c>
      <c r="E31" s="21">
        <v>2380</v>
      </c>
      <c r="F31" s="19" t="s">
        <v>44</v>
      </c>
      <c r="G31" s="17" t="str">
        <f t="shared" si="1"/>
        <v>Pendiente</v>
      </c>
      <c r="H31" s="18" t="str">
        <f t="shared" si="2"/>
        <v>Válido</v>
      </c>
      <c r="I31" s="17" t="str">
        <f t="shared" si="3"/>
        <v>Válido</v>
      </c>
      <c r="J31" s="22" t="str">
        <f t="shared" si="4"/>
        <v>Correcto</v>
      </c>
    </row>
    <row r="32" spans="1:10" ht="14.4">
      <c r="A32" s="14" t="s">
        <v>46</v>
      </c>
      <c r="B32" s="14" t="str">
        <f t="shared" si="0"/>
        <v>Sofía Ramos</v>
      </c>
      <c r="C32" s="15">
        <v>46209</v>
      </c>
      <c r="D32" s="14" t="s">
        <v>34</v>
      </c>
      <c r="E32" s="16">
        <v>2591.75</v>
      </c>
      <c r="F32" s="14" t="s">
        <v>47</v>
      </c>
      <c r="G32" s="17" t="str">
        <f t="shared" si="1"/>
        <v>pendiente</v>
      </c>
      <c r="H32" s="18" t="str">
        <f t="shared" si="2"/>
        <v>Válido</v>
      </c>
      <c r="I32" s="17" t="str">
        <f t="shared" si="3"/>
        <v>Válido</v>
      </c>
      <c r="J32" s="22" t="str">
        <f t="shared" si="4"/>
        <v>Correcto</v>
      </c>
    </row>
    <row r="33" spans="1:10" ht="14.4">
      <c r="A33" s="19" t="s">
        <v>49</v>
      </c>
      <c r="B33" s="19" t="str">
        <f t="shared" si="0"/>
        <v>Daniel Cruz</v>
      </c>
      <c r="C33" s="20">
        <v>46210</v>
      </c>
      <c r="D33" s="19" t="s">
        <v>38</v>
      </c>
      <c r="E33" s="21">
        <v>2803.5</v>
      </c>
      <c r="F33" s="19" t="s">
        <v>35</v>
      </c>
      <c r="G33" s="17" t="str">
        <f t="shared" si="1"/>
        <v>Aprobada</v>
      </c>
      <c r="H33" s="18" t="str">
        <f t="shared" si="2"/>
        <v>Válido</v>
      </c>
      <c r="I33" s="17" t="str">
        <f t="shared" si="3"/>
        <v>Válido</v>
      </c>
      <c r="J33" s="22" t="str">
        <f t="shared" si="4"/>
        <v>Correcto</v>
      </c>
    </row>
    <row r="34" spans="1:10" ht="14.4">
      <c r="A34" s="14" t="s">
        <v>25</v>
      </c>
      <c r="B34" s="14" t="str">
        <f t="shared" si="0"/>
        <v>Ana López</v>
      </c>
      <c r="C34" s="15">
        <v>46211</v>
      </c>
      <c r="D34" s="14" t="s">
        <v>26</v>
      </c>
      <c r="E34" s="16">
        <v>3013</v>
      </c>
      <c r="F34" s="14" t="s">
        <v>27</v>
      </c>
      <c r="G34" s="17" t="str">
        <f t="shared" ref="G34:G51" si="5">TRIM(F34)</f>
        <v>Rechazada</v>
      </c>
      <c r="H34" s="18" t="str">
        <f t="shared" si="2"/>
        <v>Válido</v>
      </c>
      <c r="I34" s="17" t="str">
        <f t="shared" ref="I34:I51" si="6">IF(OR(E34="",E34=0),"Revisar","Válido")</f>
        <v>Válido</v>
      </c>
      <c r="J34" s="22" t="str">
        <f t="shared" ref="J34:J51" si="7">IF(H34&lt;&gt;"Válido","Revisa",IF(I34&lt;&gt;"Válido","Revisa","Correcto"))</f>
        <v>Correcto</v>
      </c>
    </row>
    <row r="35" spans="1:10" ht="14.4">
      <c r="A35" s="19" t="s">
        <v>29</v>
      </c>
      <c r="B35" s="19" t="str">
        <f t="shared" si="0"/>
        <v>Carlos Ruiz</v>
      </c>
      <c r="C35" s="20">
        <v>46212</v>
      </c>
      <c r="D35" s="19" t="s">
        <v>30</v>
      </c>
      <c r="E35" s="21">
        <v>3224.75</v>
      </c>
      <c r="F35" s="19" t="s">
        <v>31</v>
      </c>
      <c r="G35" s="17" t="str">
        <f t="shared" si="5"/>
        <v>RECHAZADA</v>
      </c>
      <c r="H35" s="18" t="str">
        <f t="shared" si="2"/>
        <v>Válido</v>
      </c>
      <c r="I35" s="17" t="str">
        <f t="shared" si="6"/>
        <v>Válido</v>
      </c>
      <c r="J35" s="22" t="str">
        <f t="shared" si="7"/>
        <v>Correcto</v>
      </c>
    </row>
    <row r="36" spans="1:10" ht="14.4">
      <c r="A36" s="14" t="s">
        <v>33</v>
      </c>
      <c r="B36" s="14" t="str">
        <f t="shared" si="0"/>
        <v>María Torres</v>
      </c>
      <c r="C36" s="15">
        <v>46213</v>
      </c>
      <c r="D36" s="14" t="s">
        <v>34</v>
      </c>
      <c r="E36" s="16">
        <v>3436.5</v>
      </c>
      <c r="F36" s="14" t="s">
        <v>35</v>
      </c>
      <c r="G36" s="17" t="str">
        <f t="shared" si="5"/>
        <v>Aprobada</v>
      </c>
      <c r="H36" s="18" t="str">
        <f t="shared" si="2"/>
        <v>Válido</v>
      </c>
      <c r="I36" s="17" t="str">
        <f t="shared" si="6"/>
        <v>Válido</v>
      </c>
      <c r="J36" s="22" t="str">
        <f t="shared" si="7"/>
        <v>Correcto</v>
      </c>
    </row>
    <row r="37" spans="1:10" ht="14.4">
      <c r="A37" s="19" t="s">
        <v>37</v>
      </c>
      <c r="B37" s="19" t="str">
        <f t="shared" si="0"/>
        <v>José Pérez</v>
      </c>
      <c r="C37" s="20">
        <v>46214</v>
      </c>
      <c r="D37" s="19" t="s">
        <v>38</v>
      </c>
      <c r="E37" s="21">
        <v>3646</v>
      </c>
      <c r="F37" s="19" t="s">
        <v>35</v>
      </c>
      <c r="G37" s="17" t="str">
        <f t="shared" si="5"/>
        <v>Aprobada</v>
      </c>
      <c r="H37" s="18" t="str">
        <f t="shared" si="2"/>
        <v>Válido</v>
      </c>
      <c r="I37" s="17" t="str">
        <f t="shared" si="6"/>
        <v>Válido</v>
      </c>
      <c r="J37" s="22" t="str">
        <f t="shared" si="7"/>
        <v>Correcto</v>
      </c>
    </row>
    <row r="38" spans="1:10" ht="14.4">
      <c r="A38" s="14" t="s">
        <v>40</v>
      </c>
      <c r="B38" s="14" t="str">
        <f t="shared" si="0"/>
        <v>Laura Díaz</v>
      </c>
      <c r="C38" s="15">
        <v>46215</v>
      </c>
      <c r="D38" s="14" t="s">
        <v>26</v>
      </c>
      <c r="E38" s="16">
        <v>3857.75</v>
      </c>
      <c r="F38" s="14" t="s">
        <v>41</v>
      </c>
      <c r="G38" s="17" t="str">
        <f t="shared" si="5"/>
        <v>Cancelada</v>
      </c>
      <c r="H38" s="18" t="str">
        <f t="shared" si="2"/>
        <v>Válido</v>
      </c>
      <c r="I38" s="17" t="str">
        <f t="shared" si="6"/>
        <v>Válido</v>
      </c>
      <c r="J38" s="22" t="str">
        <f t="shared" si="7"/>
        <v>Correcto</v>
      </c>
    </row>
    <row r="39" spans="1:10" ht="14.4">
      <c r="A39" s="19" t="s">
        <v>43</v>
      </c>
      <c r="B39" s="19" t="str">
        <f t="shared" si="0"/>
        <v>Miguel Soto</v>
      </c>
      <c r="C39" s="20">
        <v>46216</v>
      </c>
      <c r="D39" s="19" t="s">
        <v>30</v>
      </c>
      <c r="E39" s="21">
        <v>4069.5</v>
      </c>
      <c r="F39" s="19" t="s">
        <v>44</v>
      </c>
      <c r="G39" s="17" t="str">
        <f t="shared" si="5"/>
        <v>Pendiente</v>
      </c>
      <c r="H39" s="18" t="str">
        <f t="shared" si="2"/>
        <v>Válido</v>
      </c>
      <c r="I39" s="17" t="str">
        <f t="shared" si="6"/>
        <v>Válido</v>
      </c>
      <c r="J39" s="22" t="str">
        <f t="shared" si="7"/>
        <v>Correcto</v>
      </c>
    </row>
    <row r="40" spans="1:10" ht="14.4">
      <c r="A40" s="14" t="s">
        <v>46</v>
      </c>
      <c r="B40" s="14" t="str">
        <f t="shared" si="0"/>
        <v>Sofía Ramos</v>
      </c>
      <c r="C40" s="15">
        <v>46217</v>
      </c>
      <c r="D40" s="14" t="s">
        <v>34</v>
      </c>
      <c r="E40" s="16">
        <v>4279</v>
      </c>
      <c r="F40" s="14" t="s">
        <v>47</v>
      </c>
      <c r="G40" s="17" t="str">
        <f t="shared" si="5"/>
        <v>pendiente</v>
      </c>
      <c r="H40" s="18" t="str">
        <f t="shared" si="2"/>
        <v>Válido</v>
      </c>
      <c r="I40" s="17" t="str">
        <f t="shared" si="6"/>
        <v>Válido</v>
      </c>
      <c r="J40" s="22" t="str">
        <f t="shared" si="7"/>
        <v>Correcto</v>
      </c>
    </row>
    <row r="41" spans="1:10" ht="14.4">
      <c r="A41" s="19" t="s">
        <v>49</v>
      </c>
      <c r="B41" s="19" t="str">
        <f t="shared" si="0"/>
        <v>Daniel Cruz</v>
      </c>
      <c r="C41" s="20">
        <v>46218</v>
      </c>
      <c r="D41" s="19" t="s">
        <v>38</v>
      </c>
      <c r="E41" s="21">
        <v>290.75</v>
      </c>
      <c r="F41" s="19" t="s">
        <v>35</v>
      </c>
      <c r="G41" s="17" t="str">
        <f t="shared" si="5"/>
        <v>Aprobada</v>
      </c>
      <c r="H41" s="18" t="str">
        <f t="shared" si="2"/>
        <v>Válido</v>
      </c>
      <c r="I41" s="17" t="str">
        <f t="shared" si="6"/>
        <v>Válido</v>
      </c>
      <c r="J41" s="22" t="str">
        <f t="shared" si="7"/>
        <v>Correcto</v>
      </c>
    </row>
    <row r="42" spans="1:10" ht="14.4">
      <c r="A42" s="14" t="s">
        <v>25</v>
      </c>
      <c r="B42" s="14" t="str">
        <f t="shared" si="0"/>
        <v>Ana López</v>
      </c>
      <c r="C42" s="15">
        <v>46219</v>
      </c>
      <c r="D42" s="14" t="s">
        <v>26</v>
      </c>
      <c r="E42" s="16"/>
      <c r="F42" s="14" t="s">
        <v>27</v>
      </c>
      <c r="G42" s="17" t="str">
        <f t="shared" si="5"/>
        <v>Rechazada</v>
      </c>
      <c r="H42" s="18" t="str">
        <f t="shared" si="2"/>
        <v>Válido</v>
      </c>
      <c r="I42" s="17" t="str">
        <f t="shared" si="6"/>
        <v>Revisar</v>
      </c>
      <c r="J42" s="22" t="str">
        <f t="shared" si="7"/>
        <v>Revisa</v>
      </c>
    </row>
    <row r="43" spans="1:10" ht="14.4">
      <c r="A43" s="19" t="s">
        <v>29</v>
      </c>
      <c r="B43" s="19" t="str">
        <f t="shared" si="0"/>
        <v>Carlos Ruiz</v>
      </c>
      <c r="C43" s="20">
        <v>46220</v>
      </c>
      <c r="D43" s="19" t="s">
        <v>30</v>
      </c>
      <c r="E43" s="21">
        <v>712</v>
      </c>
      <c r="F43" s="19" t="s">
        <v>31</v>
      </c>
      <c r="G43" s="17" t="str">
        <f t="shared" si="5"/>
        <v>RECHAZADA</v>
      </c>
      <c r="H43" s="18" t="str">
        <f t="shared" si="2"/>
        <v>Válido</v>
      </c>
      <c r="I43" s="17" t="str">
        <f t="shared" si="6"/>
        <v>Válido</v>
      </c>
      <c r="J43" s="22" t="str">
        <f t="shared" si="7"/>
        <v>Correcto</v>
      </c>
    </row>
    <row r="44" spans="1:10" ht="14.4">
      <c r="A44" s="14" t="s">
        <v>33</v>
      </c>
      <c r="B44" s="14" t="str">
        <f t="shared" si="0"/>
        <v>María Torres</v>
      </c>
      <c r="C44" s="15">
        <v>46221</v>
      </c>
      <c r="D44" s="14" t="s">
        <v>34</v>
      </c>
      <c r="E44" s="16">
        <v>923.75</v>
      </c>
      <c r="F44" s="14" t="s">
        <v>35</v>
      </c>
      <c r="G44" s="17" t="str">
        <f t="shared" si="5"/>
        <v>Aprobada</v>
      </c>
      <c r="H44" s="18" t="str">
        <f t="shared" si="2"/>
        <v>Válido</v>
      </c>
      <c r="I44" s="17" t="str">
        <f t="shared" si="6"/>
        <v>Válido</v>
      </c>
      <c r="J44" s="22" t="str">
        <f t="shared" si="7"/>
        <v>Correcto</v>
      </c>
    </row>
    <row r="45" spans="1:10" ht="14.4">
      <c r="A45" s="19" t="s">
        <v>37</v>
      </c>
      <c r="B45" s="19" t="str">
        <f t="shared" si="0"/>
        <v>José Pérez</v>
      </c>
      <c r="C45" s="20">
        <v>46222</v>
      </c>
      <c r="D45" s="19" t="s">
        <v>38</v>
      </c>
      <c r="E45" s="21">
        <v>1135.5</v>
      </c>
      <c r="F45" s="19" t="s">
        <v>35</v>
      </c>
      <c r="G45" s="17" t="str">
        <f t="shared" si="5"/>
        <v>Aprobada</v>
      </c>
      <c r="H45" s="18" t="str">
        <f t="shared" si="2"/>
        <v>Válido</v>
      </c>
      <c r="I45" s="17" t="str">
        <f t="shared" si="6"/>
        <v>Válido</v>
      </c>
      <c r="J45" s="22" t="str">
        <f t="shared" si="7"/>
        <v>Correcto</v>
      </c>
    </row>
    <row r="46" spans="1:10" ht="14.4">
      <c r="A46" s="14" t="s">
        <v>40</v>
      </c>
      <c r="B46" s="14" t="str">
        <f t="shared" si="0"/>
        <v>Laura Díaz</v>
      </c>
      <c r="C46" s="15">
        <v>46223</v>
      </c>
      <c r="D46" s="14" t="s">
        <v>26</v>
      </c>
      <c r="E46" s="16">
        <v>1345</v>
      </c>
      <c r="F46" s="14" t="s">
        <v>41</v>
      </c>
      <c r="G46" s="17" t="str">
        <f t="shared" si="5"/>
        <v>Cancelada</v>
      </c>
      <c r="H46" s="18" t="str">
        <f t="shared" si="2"/>
        <v>Válido</v>
      </c>
      <c r="I46" s="17" t="str">
        <f t="shared" si="6"/>
        <v>Válido</v>
      </c>
      <c r="J46" s="22" t="str">
        <f t="shared" si="7"/>
        <v>Correcto</v>
      </c>
    </row>
    <row r="47" spans="1:10" ht="14.4">
      <c r="A47" s="19" t="s">
        <v>43</v>
      </c>
      <c r="B47" s="19" t="str">
        <f t="shared" si="0"/>
        <v>Miguel Soto</v>
      </c>
      <c r="C47" s="20">
        <v>46224</v>
      </c>
      <c r="D47" s="19" t="s">
        <v>30</v>
      </c>
      <c r="E47" s="21">
        <v>1556.75</v>
      </c>
      <c r="F47" s="19" t="s">
        <v>44</v>
      </c>
      <c r="G47" s="17" t="str">
        <f t="shared" si="5"/>
        <v>Pendiente</v>
      </c>
      <c r="H47" s="18" t="str">
        <f t="shared" si="2"/>
        <v>Válido</v>
      </c>
      <c r="I47" s="17" t="str">
        <f t="shared" si="6"/>
        <v>Válido</v>
      </c>
      <c r="J47" s="22" t="str">
        <f t="shared" si="7"/>
        <v>Correcto</v>
      </c>
    </row>
    <row r="48" spans="1:10" ht="14.4">
      <c r="A48" s="14" t="s">
        <v>46</v>
      </c>
      <c r="B48" s="14" t="str">
        <f t="shared" si="0"/>
        <v>Sofía Ramos</v>
      </c>
      <c r="C48" s="15">
        <v>46225</v>
      </c>
      <c r="D48" s="14" t="s">
        <v>34</v>
      </c>
      <c r="E48" s="16">
        <v>1768.5</v>
      </c>
      <c r="F48" s="14" t="s">
        <v>47</v>
      </c>
      <c r="G48" s="17" t="str">
        <f t="shared" si="5"/>
        <v>pendiente</v>
      </c>
      <c r="H48" s="18" t="str">
        <f t="shared" si="2"/>
        <v>Válido</v>
      </c>
      <c r="I48" s="17" t="str">
        <f t="shared" si="6"/>
        <v>Válido</v>
      </c>
      <c r="J48" s="22" t="str">
        <f t="shared" si="7"/>
        <v>Correcto</v>
      </c>
    </row>
    <row r="49" spans="1:10" ht="14.4">
      <c r="A49" s="19" t="s">
        <v>49</v>
      </c>
      <c r="B49" s="19" t="str">
        <f t="shared" si="0"/>
        <v>Daniel Cruz</v>
      </c>
      <c r="C49" s="20">
        <v>46226</v>
      </c>
      <c r="D49" s="19" t="s">
        <v>38</v>
      </c>
      <c r="E49" s="21">
        <v>0</v>
      </c>
      <c r="F49" s="19" t="s">
        <v>35</v>
      </c>
      <c r="G49" s="17" t="str">
        <f t="shared" si="5"/>
        <v>Aprobada</v>
      </c>
      <c r="H49" s="18" t="str">
        <f t="shared" si="2"/>
        <v>Válido</v>
      </c>
      <c r="I49" s="17" t="str">
        <f t="shared" si="6"/>
        <v>Revisar</v>
      </c>
      <c r="J49" s="22" t="str">
        <f t="shared" si="7"/>
        <v>Revisa</v>
      </c>
    </row>
    <row r="50" spans="1:10" ht="14.4">
      <c r="A50" s="14" t="s">
        <v>25</v>
      </c>
      <c r="B50" s="14" t="str">
        <f t="shared" si="0"/>
        <v>Ana López</v>
      </c>
      <c r="C50" s="15">
        <v>46227</v>
      </c>
      <c r="D50" s="14" t="s">
        <v>26</v>
      </c>
      <c r="E50" s="16">
        <v>2189.75</v>
      </c>
      <c r="F50" s="14" t="s">
        <v>27</v>
      </c>
      <c r="G50" s="17" t="str">
        <f t="shared" si="5"/>
        <v>Rechazada</v>
      </c>
      <c r="H50" s="18" t="str">
        <f t="shared" si="2"/>
        <v>Válido</v>
      </c>
      <c r="I50" s="17" t="str">
        <f t="shared" si="6"/>
        <v>Válido</v>
      </c>
      <c r="J50" s="22" t="str">
        <f t="shared" si="7"/>
        <v>Correcto</v>
      </c>
    </row>
    <row r="51" spans="1:10" ht="14.4">
      <c r="A51" s="24" t="s">
        <v>29</v>
      </c>
      <c r="B51" s="24" t="str">
        <f t="shared" si="0"/>
        <v>Carlos Ruiz</v>
      </c>
      <c r="C51" s="25">
        <v>46228</v>
      </c>
      <c r="D51" s="24" t="s">
        <v>30</v>
      </c>
      <c r="E51" s="26">
        <v>2401.5</v>
      </c>
      <c r="F51" s="24" t="s">
        <v>31</v>
      </c>
      <c r="G51" s="27" t="str">
        <f t="shared" si="5"/>
        <v>RECHAZADA</v>
      </c>
      <c r="H51" s="18" t="str">
        <f t="shared" si="2"/>
        <v>Válido</v>
      </c>
      <c r="I51" s="27" t="str">
        <f t="shared" si="6"/>
        <v>Válido</v>
      </c>
      <c r="J51" s="22" t="str">
        <f t="shared" si="7"/>
        <v>Correcto</v>
      </c>
    </row>
  </sheetData>
  <phoneticPr fontId="12" type="noConversion"/>
  <conditionalFormatting sqref="I2:I51">
    <cfRule type="expression" dxfId="18" priority="1">
      <formula>I2="Revisar"</formula>
    </cfRule>
    <cfRule type="expression" dxfId="17" priority="2">
      <formula>I2="Válido"</formula>
    </cfRule>
  </conditionalFormatting>
  <conditionalFormatting sqref="I2:I51">
    <cfRule type="expression" dxfId="16" priority="3">
      <formula>I2="Revisar"</formula>
    </cfRule>
    <cfRule type="expression" dxfId="15" priority="4">
      <formula>I2="Válido"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C1D0-52C4-4F4D-9FA1-746A12FFFF61}">
  <dimension ref="A1:E6"/>
  <sheetViews>
    <sheetView tabSelected="1" workbookViewId="0">
      <selection activeCell="H11" sqref="H11"/>
    </sheetView>
  </sheetViews>
  <sheetFormatPr baseColWidth="10" defaultRowHeight="13.8"/>
  <cols>
    <col min="1" max="1" width="12.19921875" customWidth="1"/>
    <col min="2" max="2" width="17" customWidth="1"/>
    <col min="3" max="3" width="17.19921875" customWidth="1"/>
    <col min="4" max="4" width="27.5" customWidth="1"/>
    <col min="5" max="5" width="73.59765625" customWidth="1"/>
  </cols>
  <sheetData>
    <row r="1" spans="1:5" s="38" customFormat="1">
      <c r="A1" s="39" t="s">
        <v>126</v>
      </c>
      <c r="B1" s="39" t="s">
        <v>127</v>
      </c>
      <c r="C1" s="39" t="s">
        <v>128</v>
      </c>
      <c r="D1" s="39" t="s">
        <v>129</v>
      </c>
      <c r="E1" s="39" t="s">
        <v>130</v>
      </c>
    </row>
    <row r="2" spans="1:5">
      <c r="A2" t="s">
        <v>131</v>
      </c>
      <c r="B2" t="s">
        <v>138</v>
      </c>
      <c r="C2" s="29">
        <v>0</v>
      </c>
      <c r="D2" t="s">
        <v>137</v>
      </c>
      <c r="E2" t="s">
        <v>140</v>
      </c>
    </row>
    <row r="3" spans="1:5">
      <c r="A3" t="s">
        <v>132</v>
      </c>
      <c r="B3" t="s">
        <v>139</v>
      </c>
      <c r="C3" t="s">
        <v>136</v>
      </c>
      <c r="D3" t="s">
        <v>142</v>
      </c>
      <c r="E3" t="s">
        <v>141</v>
      </c>
    </row>
    <row r="4" spans="1:5">
      <c r="A4" t="s">
        <v>133</v>
      </c>
      <c r="B4" t="s">
        <v>139</v>
      </c>
      <c r="C4" t="s">
        <v>136</v>
      </c>
      <c r="D4" t="s">
        <v>142</v>
      </c>
      <c r="E4" t="s">
        <v>141</v>
      </c>
    </row>
    <row r="5" spans="1:5">
      <c r="A5" t="s">
        <v>134</v>
      </c>
      <c r="B5" t="s">
        <v>139</v>
      </c>
      <c r="C5" t="s">
        <v>136</v>
      </c>
      <c r="D5" t="s">
        <v>142</v>
      </c>
      <c r="E5" t="s">
        <v>141</v>
      </c>
    </row>
    <row r="6" spans="1:5">
      <c r="A6" t="s">
        <v>135</v>
      </c>
      <c r="B6" t="s">
        <v>138</v>
      </c>
      <c r="C6" s="29">
        <v>0</v>
      </c>
      <c r="D6" t="s">
        <v>137</v>
      </c>
      <c r="E6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D7" sqref="D7"/>
    </sheetView>
  </sheetViews>
  <sheetFormatPr baseColWidth="10" defaultColWidth="8.796875" defaultRowHeight="13.8"/>
  <cols>
    <col min="1" max="1" width="22" customWidth="1"/>
    <col min="2" max="2" width="78" customWidth="1"/>
    <col min="3" max="3" width="20" customWidth="1"/>
    <col min="4" max="4" width="18" customWidth="1"/>
  </cols>
  <sheetData>
    <row r="1" spans="1:4" ht="17.399999999999999">
      <c r="A1" s="36" t="s">
        <v>106</v>
      </c>
      <c r="B1" s="36"/>
      <c r="C1" s="36"/>
      <c r="D1" s="36"/>
    </row>
    <row r="3" spans="1:4">
      <c r="A3" s="6" t="s">
        <v>107</v>
      </c>
      <c r="B3" s="6" t="s">
        <v>108</v>
      </c>
      <c r="C3" s="6" t="s">
        <v>109</v>
      </c>
      <c r="D3" s="6" t="s">
        <v>110</v>
      </c>
    </row>
    <row r="4" spans="1:4">
      <c r="A4" s="4" t="s">
        <v>143</v>
      </c>
      <c r="B4" s="37" t="s">
        <v>147</v>
      </c>
      <c r="C4" s="4" t="s">
        <v>111</v>
      </c>
      <c r="D4" s="4" t="s">
        <v>154</v>
      </c>
    </row>
    <row r="5" spans="1:4">
      <c r="A5" s="4" t="s">
        <v>144</v>
      </c>
      <c r="B5" s="37" t="s">
        <v>7</v>
      </c>
      <c r="C5" s="4" t="s">
        <v>113</v>
      </c>
      <c r="D5" s="4" t="s">
        <v>112</v>
      </c>
    </row>
    <row r="6" spans="1:4">
      <c r="A6" s="4" t="s">
        <v>145</v>
      </c>
      <c r="B6" s="37" t="s">
        <v>148</v>
      </c>
      <c r="C6" s="4" t="s">
        <v>115</v>
      </c>
      <c r="D6" s="4" t="s">
        <v>114</v>
      </c>
    </row>
    <row r="7" spans="1:4">
      <c r="A7" s="4" t="s">
        <v>146</v>
      </c>
      <c r="B7" s="37" t="s">
        <v>10</v>
      </c>
      <c r="C7" s="4" t="s">
        <v>117</v>
      </c>
      <c r="D7" s="4" t="s">
        <v>116</v>
      </c>
    </row>
    <row r="8" spans="1:4">
      <c r="A8" s="4" t="s">
        <v>118</v>
      </c>
      <c r="B8" s="37" t="s">
        <v>149</v>
      </c>
      <c r="C8" s="4" t="s">
        <v>119</v>
      </c>
      <c r="D8" s="4" t="s">
        <v>120</v>
      </c>
    </row>
    <row r="9" spans="1:4">
      <c r="A9" s="4" t="s">
        <v>121</v>
      </c>
      <c r="B9" s="37" t="s">
        <v>150</v>
      </c>
      <c r="C9" s="4" t="s">
        <v>119</v>
      </c>
      <c r="D9" s="4" t="s">
        <v>120</v>
      </c>
    </row>
    <row r="10" spans="1:4">
      <c r="A10" s="4" t="s">
        <v>122</v>
      </c>
      <c r="B10" s="37" t="s">
        <v>151</v>
      </c>
      <c r="C10" s="4" t="s">
        <v>119</v>
      </c>
      <c r="D10" s="4" t="s">
        <v>120</v>
      </c>
    </row>
    <row r="11" spans="1:4">
      <c r="A11" s="4" t="s">
        <v>123</v>
      </c>
      <c r="B11" s="37" t="s">
        <v>152</v>
      </c>
      <c r="C11" s="4" t="s">
        <v>119</v>
      </c>
      <c r="D11" s="4" t="s">
        <v>120</v>
      </c>
    </row>
    <row r="12" spans="1:4">
      <c r="A12" s="4" t="s">
        <v>124</v>
      </c>
      <c r="B12" s="37" t="s">
        <v>153</v>
      </c>
      <c r="C12" s="4" t="s">
        <v>119</v>
      </c>
      <c r="D12" s="4" t="s">
        <v>120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Resumen</vt:lpstr>
      <vt:lpstr>Pagos_50_Original</vt:lpstr>
      <vt:lpstr>Pagos_50_Limpio</vt:lpstr>
      <vt:lpstr>Hallazgos</vt:lpstr>
      <vt:lpstr>Solución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2026-09-01T23:00:52Z</dcterms:created>
  <dcterms:modified xsi:type="dcterms:W3CDTF">2026-10-19T04:08:46Z</dcterms:modified>
</cp:coreProperties>
</file>