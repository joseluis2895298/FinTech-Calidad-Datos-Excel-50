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9c0be79f5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f5d1ad65fe74e69"/>
    <x:sheet xmlns:r="http://schemas.openxmlformats.org/officeDocument/2006/relationships" name="Summary" sheetId="3" r:id="R95423a1df46742ba"/>
    <x:sheet xmlns:r="http://schemas.openxmlformats.org/officeDocument/2006/relationships" name="Payments_50_Original" sheetId="2" r:id="R8fbcab70c0534e74"/>
    <x:sheet xmlns:r="http://schemas.openxmlformats.org/officeDocument/2006/relationships" name="Payments_50_Cleaned" sheetId="5" r:id="Rddbe8397794b413e"/>
    <x:sheet xmlns:r="http://schemas.openxmlformats.org/officeDocument/2006/relationships" name="Findings" sheetId="6" r:id="R697dbfddb2e9430e"/>
    <x:sheet xmlns:r="http://schemas.openxmlformats.org/officeDocument/2006/relationships" name="Solutions" sheetId="4" r:id="Rc6770fca714a4df2"/>
  </x:sheets>
</x:workbook>
</file>

<file path=xl/sharedStrings.xml><?xml version="1.0" encoding="utf-8"?>
<x:sst xmlns:x="http://schemas.openxmlformats.org/spreadsheetml/2006/main">
  <x:si>
    <x:t xml:space="preserve">1.</x:t>
  </x:si>
  <x:si>
    <x:t xml:space="preserve">2.</x:t>
  </x:si>
  <x:si>
    <x:t xml:space="preserve">3.</x:t>
  </x:si>
  <x:si>
    <x:t xml:space="preserve">4.</x:t>
  </x:si>
  <x:si>
    <x:t xml:space="preserve">5.</x:t>
  </x:si>
  <x:si>
    <x:t xml:space="preserve">PAY-2026-0001</x:t>
  </x:si>
  <x:si>
    <x:t xml:space="preserve">Ana López</x:t>
  </x:si>
  <x:si>
    <x:t xml:space="preserve">PAY-2026-0002</x:t>
  </x:si>
  <x:si>
    <x:t xml:space="preserve">Carlos Ruiz</x:t>
  </x:si>
  <x:si>
    <x:t xml:space="preserve">PAY-2026-0003</x:t>
  </x:si>
  <x:si>
    <x:t xml:space="preserve">María Torres</x:t>
  </x:si>
  <x:si>
    <x:t xml:space="preserve">PAY-2026-0004</x:t>
  </x:si>
  <x:si>
    <x:t xml:space="preserve">José Pérez</x:t>
  </x:si>
  <x:si>
    <x:t xml:space="preserve">Wallet</x:t>
  </x:si>
  <x:si>
    <x:t xml:space="preserve">PAY-2026-0005</x:t>
  </x:si>
  <x:si>
    <x:t xml:space="preserve">Laura Díaz</x:t>
  </x:si>
  <x:si>
    <x:t xml:space="preserve">PAY-2026-0006</x:t>
  </x:si>
  <x:si>
    <x:t xml:space="preserve">Miguel Soto</x:t>
  </x:si>
  <x:si>
    <x:t xml:space="preserve">PAY-2026-0007</x:t>
  </x:si>
  <x:si>
    <x:t xml:space="preserve">Sofía Ramos</x:t>
  </x:si>
  <x:si>
    <x:t xml:space="preserve">PAY-2026-0008</x:t>
  </x:si>
  <x:si>
    <x:t xml:space="preserve">Daniel Cruz</x:t>
  </x:si>
  <x:si>
    <x:t xml:space="preserve">PAY-2026-0009</x:t>
  </x:si>
  <x:si>
    <x:t xml:space="preserve">PAY-2026-0010</x:t>
  </x:si>
  <x:si>
    <x:t xml:space="preserve">PAY-2026-0011</x:t>
  </x:si>
  <x:si>
    <x:t xml:space="preserve">PAY-2026-0012</x:t>
  </x:si>
  <x:si>
    <x:t xml:space="preserve">PAY-2026-0013</x:t>
  </x:si>
  <x:si>
    <x:t xml:space="preserve">PAY-2026-0014</x:t>
  </x:si>
  <x:si>
    <x:t xml:space="preserve">PAY-2026-0015</x:t>
  </x:si>
  <x:si>
    <x:t xml:space="preserve">PAY-2026-0016</x:t>
  </x:si>
  <x:si>
    <x:t xml:space="preserve">PAY-2026-0017</x:t>
  </x:si>
  <x:si>
    <x:t xml:space="preserve">PAY-2026-0018</x:t>
  </x:si>
  <x:si>
    <x:t xml:space="preserve">PAY-2026-0019</x:t>
  </x:si>
  <x:si>
    <x:t xml:space="preserve">PAY-2026-0020</x:t>
  </x:si>
  <x:si>
    <x:t xml:space="preserve">PAY-2026-0021</x:t>
  </x:si>
  <x:si>
    <x:t xml:space="preserve">PAY-2026-0022</x:t>
  </x:si>
  <x:si>
    <x:t xml:space="preserve">PAY-2026-0023</x:t>
  </x:si>
  <x:si>
    <x:t xml:space="preserve">PAY-2026-0024</x:t>
  </x:si>
  <x:si>
    <x:t xml:space="preserve">PAY-2026-0025</x:t>
  </x:si>
  <x:si>
    <x:t xml:space="preserve">PAY-2026-0026</x:t>
  </x:si>
  <x:si>
    <x:t xml:space="preserve">PAY-2026-0027</x:t>
  </x:si>
  <x:si>
    <x:t xml:space="preserve">PAY-2026-0028</x:t>
  </x:si>
  <x:si>
    <x:t xml:space="preserve">PAY-2026-0029</x:t>
  </x:si>
  <x:si>
    <x:t xml:space="preserve">PAY-2026-0030</x:t>
  </x:si>
  <x:si>
    <x:t xml:space="preserve">PAY-2026-0031</x:t>
  </x:si>
  <x:si>
    <x:t xml:space="preserve">PAY-2026-0032</x:t>
  </x:si>
  <x:si>
    <x:t xml:space="preserve">PAY-2026-0033</x:t>
  </x:si>
  <x:si>
    <x:t xml:space="preserve">PAY-2026-0034</x:t>
  </x:si>
  <x:si>
    <x:t xml:space="preserve">PAY-2026-0035</x:t>
  </x:si>
  <x:si>
    <x:t xml:space="preserve">PAY-2026-0036</x:t>
  </x:si>
  <x:si>
    <x:t xml:space="preserve">PAY-2026-0037</x:t>
  </x:si>
  <x:si>
    <x:t xml:space="preserve">PAY-2026-0038</x:t>
  </x:si>
  <x:si>
    <x:t xml:space="preserve">PAY-2026-0039</x:t>
  </x:si>
  <x:si>
    <x:t xml:space="preserve">PAY-2026-0040</x:t>
  </x:si>
  <x:si>
    <x:t xml:space="preserve">PAY-2026-0041</x:t>
  </x:si>
  <x:si>
    <x:t xml:space="preserve">PAY-2026-0042</x:t>
  </x:si>
  <x:si>
    <x:t xml:space="preserve">PAY-2026-0043</x:t>
  </x:si>
  <x:si>
    <x:t xml:space="preserve">PAY-2026-0044</x:t>
  </x:si>
  <x:si>
    <x:t xml:space="preserve">PAY-2026-0045</x:t>
  </x:si>
  <x:si>
    <x:t xml:space="preserve">PAY-2026-0046</x:t>
  </x:si>
  <x:si>
    <x:t xml:space="preserve">PAY-2026-0047</x:t>
  </x:si>
  <x:si>
    <x:t xml:space="preserve">PAY-2026-0048</x:t>
  </x:si>
  <x:si>
    <x:t xml:space="preserve">PAY-2026-0049</x:t>
  </x:si>
  <x:si>
    <x:t xml:space="preserve">PAY-2026-0050</x:t>
  </x:si>
  <x:si>
    <x:t xml:space="preserve">José  Pérez</x:t>
  </x:si>
  <x:si>
    <x:t xml:space="preserve">Pagos_50_Limpio!B2</x:t>
  </x:si>
  <x:si>
    <x:t xml:space="preserve">Pagos_50_Limpio!G2</x:t>
  </x:si>
  <x:si>
    <x:t xml:space="preserve">Pagos_50_Limpio!H2</x:t>
  </x:si>
  <x:si>
    <x:t xml:space="preserve">Pagos_50_Limpio!I2</x:t>
  </x:si>
  <x:si>
    <x:t xml:space="preserve">Resumen!B4</x:t>
  </x:si>
  <x:si>
    <x:t xml:space="preserve">Resumen!B5</x:t>
  </x:si>
  <x:si>
    <x:t xml:space="preserve">Resumen!B6</x:t>
  </x:si>
  <x:si>
    <x:t xml:space="preserve">Resumen!B7</x:t>
  </x:si>
  <x:si>
    <x:t xml:space="preserve">Resumen!B8</x:t>
  </x:si>
</x:sst>
</file>

<file path=xl/styles.xml><?xml version="1.0" encoding="utf-8"?>
<x:styleSheet xmlns:x="http://schemas.openxmlformats.org/spreadsheetml/2006/main">
  <x:numFmts count="2">
    <x:numFmt numFmtId="8" formatCode="&quot;$&quot;#,##0.00;[Red]\-&quot;$&quot;#,##0.00"/>
    <x:numFmt numFmtId="164" formatCode="\$#,##0.0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sz val="11"/>
      <x:name val="Calibri"/>
    </x:font>
    <x:font>
      <x:sz val="11"/>
      <x:color theme="1"/>
      <x:name val="Carlito"/>
    </x:font>
    <x:font>
      <x:sz val="11"/>
      <x:color theme="1"/>
      <x:name val="Calibri"/>
    </x:font>
    <x:font>
      <x:b/>
      <x:sz val="11"/>
      <x:color theme="1"/>
      <x:name val="Carlito"/>
    </x:font>
    <x:font>
      <x:sz val="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D966"/>
      </x:patternFill>
    </x:fill>
    <x:fill>
      <x:patternFill patternType="solid">
        <x:fgColor rgb="FF70AD47"/>
      </x:patternFill>
    </x:fill>
    <x:fill>
      <x:patternFill patternType="solid">
        <x:fgColor theme="4" tint="0.79998"/>
      </x:patternFill>
    </x:fill>
    <x:fill>
      <x:patternFill patternType="solid">
        <x:fgColor rgb="FF00B0F0"/>
      </x:patternFill>
    </x:fill>
  </x:fills>
  <x:borders count="5">
    <x:border/>
    <x:border/>
    <x:border>
      <x:top style="thin">
        <x:color theme="4" tint="0.39998"/>
      </x:top>
      <x:bottom style="thin">
        <x:color theme="4" tint="0.39998"/>
      </x:bottom>
    </x:border>
    <x:border>
      <x:bottom style="thin">
        <x:color theme="4" tint="0.39998"/>
      </x:bottom>
    </x:border>
    <x:border>
      <x:top style="thin">
        <x:color theme="4" tint="0.39998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/>
    </x:xf>
    <x:xf numFmtId="14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8" fillId="0" borderId="0" xfId="0" applyFont="1" applyAlignment="1">
      <x:alignment vertical="center"/>
    </x:xf>
    <x:xf numFmtId="0" fontId="9" fillId="12" borderId="2" xfId="0" applyNumberFormat="1" applyFont="1" applyFill="1" applyBorder="1"/>
    <x:xf numFmtId="14" fontId="9" fillId="12" borderId="2" xfId="0" applyNumberFormat="1" applyFont="1" applyFill="1" applyBorder="1"/>
    <x:xf numFmtId="164" fontId="9" fillId="12" borderId="2" xfId="0" applyNumberFormat="1" applyFont="1" applyFill="1" applyBorder="1"/>
    <x:xf numFmtId="0" fontId="5" fillId="8" borderId="2" xfId="0" applyNumberFormat="1" applyFont="1" applyFill="1" applyBorder="1" applyAlignment="1">
      <x:alignment horizontal="center"/>
    </x:xf>
    <x:xf numFmtId="0" fontId="10" fillId="12" borderId="2" xfId="0" applyFont="1" applyFill="1" applyBorder="1" applyAlignment="1">
      <x:alignment vertical="center"/>
    </x:xf>
    <x:xf numFmtId="0" fontId="9" fillId="0" borderId="2" xfId="0" applyNumberFormat="1" applyFont="1" applyBorder="1"/>
    <x:xf numFmtId="14" fontId="9" fillId="0" borderId="2" xfId="0" applyNumberFormat="1" applyFont="1" applyBorder="1"/>
    <x:xf numFmtId="164" fontId="9" fillId="0" borderId="2" xfId="0" applyNumberFormat="1" applyFont="1" applyBorder="1"/>
    <x:xf numFmtId="0" fontId="11" fillId="9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9" fillId="0" borderId="4" xfId="0" applyNumberFormat="1" applyFont="1" applyBorder="1"/>
    <x:xf numFmtId="14" fontId="9" fillId="0" borderId="4" xfId="0" applyNumberFormat="1" applyFont="1" applyBorder="1"/>
    <x:xf numFmtId="164" fontId="9" fillId="0" borderId="4" xfId="0" applyNumberFormat="1" applyFont="1" applyBorder="1"/>
    <x:xf numFmtId="0" fontId="5" fillId="8" borderId="4" xfId="0" applyNumberFormat="1" applyFont="1" applyFill="1" applyBorder="1" applyAlignment="1">
      <x:alignment horizontal="center"/>
    </x:xf>
    <x:xf numFmtId="0" fontId="0" fillId="0" borderId="0" xfId="0" applyFont="1"/>
    <x:xf numFmtId="8" fontId="0" fillId="0" borderId="0" xfId="0" applyNumberFormat="1"/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/>
    </x:xf>
    <x:xf numFmtId="0" fontId="7" fillId="11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1" fillId="0" borderId="0" xfId="0" applyFont="1"/>
    <x:xf numFmtId="0" fontId="11" fillId="13" borderId="0" xfId="0" applyFont="1" applyFill="1"/>
  </x:cellXfs>
  <x:cellStyles count="1">
    <x:cellStyle name="Normal" xfId="0"/>
  </x:cellStyles>
  <x:dxfs count="25">
    <x:dxf>
      <x:font>
        <x:b/>
        <x:u val="none"/>
        <x:sz val="11"/>
        <x:color theme="1"/>
        <x:name val="Carlito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i/>
        <x:u val="none"/>
        <x:sz val="11"/>
        <x:color rgb="FF7F6000"/>
        <x:name val="Carlito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libri"/>
        <x:family val="2"/>
        <x:scheme val="none"/>
      </x:font>
      <x:numFmt numFmtId="0" formatCode="General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i/>
        <x:u val="none"/>
        <x:sz val="11"/>
        <x:color rgb="FF7F6000"/>
        <x:name val="Carlito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rlito"/>
        <x:scheme val="none"/>
      </x:font>
      <x:numFmt numFmtId="0" formatCode="General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rlito"/>
        <x:scheme val="none"/>
      </x:font>
      <x:numFmt numFmtId="164" formatCode="\$#,##0.00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rlito"/>
        <x:scheme val="none"/>
      </x:font>
      <x:numFmt numFmtId="0" formatCode="General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rlito"/>
        <x:scheme val="none"/>
      </x:font>
      <x:numFmt numFmtId="19" formatCode="dd/mm/yyyy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rlito"/>
        <x:scheme val="none"/>
      </x:font>
      <x:numFmt numFmtId="0" formatCode="General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font>
        <x:u val="none"/>
        <x:sz val="11"/>
        <x:color theme="1"/>
        <x:name val="Carlito"/>
        <x:scheme val="none"/>
      </x:font>
      <x:numFmt numFmtId="0" formatCode="General"/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border>
        <x:top style="thin">
          <x:color theme="4" tint="0.39998"/>
        </x:top>
      </x:border>
    </x:dxf>
    <x:dxf>
      <x:border>
        <x:right style="thin">
          <x:color theme="4" tint="0.39998"/>
        </x:right>
        <x:top style="thin">
          <x:color theme="4" tint="0.39998"/>
        </x:top>
        <x:bottom style="thin">
          <x:color theme="4" tint="0.39998"/>
        </x:bottom>
      </x:border>
    </x:dxf>
    <x:dxf>
      <x:font>
        <x:i/>
        <x:u val="none"/>
        <x:sz val="11"/>
        <x:color rgb="FF7F6000"/>
        <x:name val="Carlito"/>
        <x:scheme val="none"/>
      </x:font>
      <x:fill>
        <x:patternFill>
          <x:bgColor indexed="64"/>
        </x:patternFill>
      </x:fill>
    </x:dxf>
    <x:dxf>
      <x:border>
        <x:bottom style="thin">
          <x:color theme="4" tint="0.39998"/>
        </x:bottom>
      </x:border>
    </x:dxf>
    <x:dxf>
      <x:font>
        <x:b/>
        <x:u val="none"/>
        <x:sz val="11"/>
        <x:color rgb="FFFFFFFF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numFmt numFmtId="0" formatCode="General"/>
    </x:dxf>
    <x:dxf>
      <x:font>
        <x:u val="none"/>
        <x:sz val="11"/>
        <x:color auto="1"/>
        <x:name val="Carlito"/>
        <x:scheme val="none"/>
      </x:font>
      <x:numFmt numFmtId="0" formatCode="General"/>
      <x:fill>
        <x:patternFill>
          <x:bgColor indexed="65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606d3f91a4738" /><Relationship Type="http://schemas.openxmlformats.org/officeDocument/2006/relationships/theme" Target="/xl/theme/theme1.xml" Id="Radd390e05a65428a" /><Relationship Type="http://schemas.openxmlformats.org/officeDocument/2006/relationships/sharedStrings" Target="/xl/sharedStrings.xml" Id="R13e32e96eb1b4c7d" /><Relationship Type="http://schemas.openxmlformats.org/officeDocument/2006/relationships/worksheet" Target="/xl/worksheets/sheet1.xml" Id="Rcf5d1ad65fe74e69" /><Relationship Type="http://schemas.openxmlformats.org/officeDocument/2006/relationships/worksheet" Target="/xl/worksheets/sheet2.xml" Id="R95423a1df46742ba" /><Relationship Type="http://schemas.openxmlformats.org/officeDocument/2006/relationships/worksheet" Target="/xl/worksheets/sheet3.xml" Id="R8fbcab70c0534e74" /><Relationship Type="http://schemas.openxmlformats.org/officeDocument/2006/relationships/worksheet" Target="/xl/worksheets/sheet4.xml" Id="Rddbe8397794b413e" /><Relationship Type="http://schemas.openxmlformats.org/officeDocument/2006/relationships/worksheet" Target="/xl/worksheets/sheet5.xml" Id="R697dbfddb2e9430e" /><Relationship Type="http://schemas.openxmlformats.org/officeDocument/2006/relationships/worksheet" Target="/xl/worksheets/sheet6.xml" Id="Rc6770fca714a4df2" /></Relationships>
</file>

<file path=xl/tables/table1.xml><?xml version="1.0" encoding="utf-8"?>
<x:table xmlns:x="http://schemas.openxmlformats.org/spreadsheetml/2006/main" id="1" name="TablaPagosCalidad50" displayName="TablaPagosCalidad50" ref="A1:J51">
  <x:tableColumns count="10">
    <x:tableColumn id="1" name="ID_Pago"/>
    <x:tableColumn id="2" name="Nombre_Capturado"/>
    <x:tableColumn id="12" name="Nombre_Limpio" dataDxfId="20">
      <x:calculatedColumnFormula>TRIM(B2)</x:calculatedColumnFormula>
    </x:tableColumn>
    <x:tableColumn id="3" name="Fecha"/>
    <x:tableColumn id="4" name="Producto_Financiero"/>
    <x:tableColumn id="5" name="Monto"/>
    <x:tableColumn id="6" name="Estatus_Capturado"/>
    <x:tableColumn id="9" name="Calidad_Estatus" dataDxfId="19">
      <x:calculatedColumnFormula>IF(OR(E2&lt;=0),"Revisar","Válido")</x:calculatedColumnFormula>
    </x:tableColumn>
    <x:tableColumn id="10" name="Calidad_Monto">
      <x:calculatedColumnFormula>IF(OR(E2="",E2=0),"Revisar","Valido")</x:calculatedColumnFormula>
    </x:tableColumn>
    <x:tableColumn id="11" name="Comprobación">
      <x:calculatedColumnFormula>IF(AND(Pagos_50_Original!A2="Ana López", Pagos_50_Original!G2="Rechazada", H2="Válido", I2="Válido"), "Correcto", "Revisa")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2" displayName="Tabla2" ref="A1:J51" totalsRowShown="0" dataDxfId="12" headerRowBorderDxfId="13">
  <x:autoFilter ref="A1:J51"/>
  <x:tableColumns count="10">
    <x:tableColumn id="1" name="Nombre_Capturado" dataDxfId="9"/>
    <x:tableColumn id="2" name="Nombre_Limpio" dataDxfId="8">
      <x:calculatedColumnFormula>TRIM(A2)</x:calculatedColumnFormula>
    </x:tableColumn>
    <x:tableColumn id="3" name="Fecha" dataDxfId="7"/>
    <x:tableColumn id="4" name="Producto_Financiero" dataDxfId="6"/>
    <x:tableColumn id="5" name="Monto" dataDxfId="5"/>
    <x:tableColumn id="6" name="Estatus_Capturado" dataDxfId="4"/>
    <x:tableColumn id="8" name="Estatus_Limpio" dataDxfId="3">
      <x:calculatedColumnFormula>TRIM(F2)</x:calculatedColumnFormula>
    </x:tableColumn>
    <x:tableColumn id="9" name="Calidad_Estatus" dataDxfId="2">
      <x:calculatedColumnFormula>IF(OR(G2="Aprobada",G2="Rechazada",G2="Pendiente",G2="Cancelada"),"Válido","Revisar")</x:calculatedColumnFormula>
    </x:tableColumn>
    <x:tableColumn id="10" name="Calidad_Monto" dataDxfId="1">
      <x:calculatedColumnFormula>IF(OR(E2="",E2=0),"Revisar","Válido")</x:calculatedColumnFormula>
    </x:tableColumn>
    <x:tableColumn id="11" name="Comprobación" dataDxfId="0">
      <x:calculatedColumnFormula>IF(H2&lt;&gt;"Válido","Revisa",IF(I2&lt;&gt;"Válido","Revisa","Correcto"))</x:calculatedColumnFormula>
    </x:tableColumn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e00bc2ceca449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4f416eb4bd74fc9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12" customWidth="1"/>
    <x:col min="2" max="2" width="58" customWidth="1"/>
    <x:col min="3" max="6" width="14" customWidth="1"/>
  </x:cols>
  <x:sheetData>
    <x:row r="1" ht="24" customHeight="1">
      <x:c r="A1" s="30" t="str">
        <x:v>FinTech Mini Project 2 — Data Quality (50 Records)</x:v>
      </x:c>
      <x:c r="B1" s="30"/>
      <x:c r="C1" s="30"/>
      <x:c r="D1" s="30"/>
      <x:c r="E1" s="30"/>
      <x:c r="F1" s="30"/>
    </x:row>
    <x:row r="3" ht="30.450000762939453" customHeight="1">
      <x:c r="A3" s="31" t="str">
        <x:v>Objective: clean inconsistent text, validate statuses, and produce a data quality report.</x:v>
      </x:c>
      <x:c r="B3" s="31"/>
      <x:c r="C3" s="31"/>
      <x:c r="D3" s="31"/>
      <x:c r="E3" s="31"/>
      <x:c r="F3" s="31"/>
    </x:row>
    <x:row r="5">
      <x:c r="A5" s="2" t="str">
        <x:v>Step</x:v>
      </x:c>
      <x:c r="B5" s="2" t="str">
        <x:v>Task</x:v>
      </x:c>
    </x:row>
    <x:row r="6" ht="41.400001525878906">
      <x:c r="A6" s="5">
        <x:v>1</x:v>
      </x:c>
      <x:c r="B6" s="4" t="str">
        <x:v>In Pagos_50_Limpio, clean Name_Entered (column A) using TRIM and save the result in Clean_Name (column B).</x:v>
      </x:c>
    </x:row>
    <x:row r="7" ht="41.400001525878906">
      <x:c r="A7" s="5">
        <x:v>2</x:v>
      </x:c>
      <x:c r="B7" s="4" t="str">
        <x:v>In Pagos_50_Limpio, clean Status_Entered (column F) using TRIM and save the result in Clean_Status (column G).</x:v>
      </x:c>
    </x:row>
    <x:row r="8" ht="41.400001525878906">
      <x:c r="A8" s="5">
        <x:v>3</x:v>
      </x:c>
      <x:c r="B8" s="4" t="str">
        <x:v>In Pagos_50_Limpio, validate Clean_Status (column G). If it is Approved, Pending, Rejected, or Canceled, enter "Valid" in Status_Quality (column H); otherwise, enter "Review".</x:v>
      </x:c>
    </x:row>
    <x:row r="9" ht="41.400001525878906">
      <x:c r="A9" s="5">
        <x:v>4</x:v>
      </x:c>
      <x:c r="B9" s="4" t="str">
        <x:v>In Pagos_50_Limpio, validate Amount (column E). If the amount is blank or less than or equal to 0, enter "Review" in Amount_Quality (column I); otherwise, enter "Valid".</x:v>
      </x:c>
    </x:row>
    <x:row r="10" ht="27.600000381469727">
      <x:c r="A10" s="5">
        <x:v>5</x:v>
      </x:c>
      <x:c r="B10" s="4" t="str">
        <x:v>In Pagos_50_Limpio, copy the formulas in columns B, G, H, and I from row 2 through row 51 to process all 50 records.</x:v>
      </x:c>
    </x:row>
    <x:row r="11" ht="55.20000076293945">
      <x:c r="A11" s="5">
        <x:v>6</x:v>
      </x:c>
      <x:c r="B11" s="4" t="str">
        <x:v>In the Resumen worksheet, use COUNTIF to calculate valid statuses, statuses requiring review, valid amounts, amounts requiring review, and canceled payments. Verify that the results match the data.</x:v>
      </x:c>
    </x:row>
    <x:row r="14">
      <x:c r="A14" s="32" t="str">
        <x:v>Formulas to Practice</x:v>
      </x:c>
      <x:c r="B14" s="32"/>
      <x:c r="C14" s="32"/>
      <x:c r="D14" s="32"/>
      <x:c r="E14" s="32"/>
      <x:c r="F14" s="32"/>
    </x:row>
    <x:row r="15">
      <x:c r="A15" s="4" t="str">
        <x:v>TRIM</x:v>
      </x:c>
      <x:c r="B15" s="37" t="str">
        <x:f>TRIM(A2)</x:f>
      </x:c>
    </x:row>
    <x:row r="16" ht="27.600000381469727">
      <x:c r="A16" s="4" t="str">
        <x:v>TRIM status</x:v>
      </x:c>
      <x:c r="B16" s="37" t="str">
        <x:f>TRIM(F2)</x:f>
      </x:c>
    </x:row>
    <x:row r="17" ht="27.600000381469727">
      <x:c r="A17" s="4" t="str">
        <x:v>IF + OR</x:v>
      </x:c>
      <x:c r="B17" s="37" t="str">
        <x:f>IF(OR(G2="Approved",G2="Pending",G2="Rejected",G2="Canceled"),"Valid","Review")</x:f>
        <x:v>Review</x:v>
      </x:c>
    </x:row>
    <x:row r="18">
      <x:c r="A18" s="4" t="str">
        <x:v>IF + OR (amount)</x:v>
      </x:c>
      <x:c r="B18" s="37" t="str">
        <x:f>IF(OR(E2="",E2&lt;=0),"Review","Valid")</x:f>
        <x:v>Review</x:v>
      </x:c>
    </x:row>
    <x:row r="19">
      <x:c r="A19" s="4" t="str">
        <x:v>COUNTIF</x:v>
      </x:c>
      <x:c r="B19" s="37" t="n">
        <x:f>COUNTIF(Payments_50_Cleaned!I2:I51,"Review")</x:f>
        <x:v>0</x:v>
      </x:c>
    </x:row>
    <x:row r="22">
      <x:c r="A22" s="33" t="str">
        <x:v>This exercise reflects data quality work: it is not enough for a formula to work; you must also identify data that needs correction before using it in a report.</x:v>
      </x:c>
      <x:c r="B22" s="33"/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</x:sheetData>
  <x:mergeCells>
    <x:mergeCell ref="A1:F1"/>
    <x:mergeCell ref="A3:F3"/>
    <x:mergeCell ref="A14:F14"/>
    <x:mergeCell ref="A22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30" customWidth="1"/>
    <x:col min="2" max="2" width="22" customWidth="1"/>
    <x:col min="3" max="3" width="16" customWidth="1"/>
    <x:col min="9" max="9" width="11.8984375" customWidth="1"/>
  </x:cols>
  <x:sheetData>
    <x:row r="1" ht="19.200000762939453">
      <x:c r="A1" s="34" t="str">
        <x:v>Data Quality Report</x:v>
      </x:c>
      <x:c r="B1" s="34"/>
      <x:c r="C1" s="34"/>
      <x:c r="D1" s="34"/>
    </x:row>
    <x:row r="3">
      <x:c r="A3" s="2" t="str">
        <x:v>Metric</x:v>
      </x:c>
      <x:c r="B3" s="2" t="str">
        <x:v>Result</x:v>
      </x:c>
      <x:c r="C3" s="2" t="str">
        <x:v>Verification</x:v>
      </x:c>
    </x:row>
    <x:row r="4" ht="14.399999618530273">
      <x:c r="A4" s="3" t="str">
        <x:v>Valid statuses</x:v>
      </x:c>
      <x:c r="B4" s="9" t="n">
        <x:f>COUNTIF(Payments_50_Cleaned!H2:H51,"Valid")</x:f>
        <x:v>0</x:v>
      </x:c>
      <x:c r="C4" s="10" t="str">
        <x:f>IF(B4=50,"Correct","Check")</x:f>
        <x:v>Check</x:v>
      </x:c>
    </x:row>
    <x:row r="5" ht="14.399999618530273">
      <x:c r="A5" s="3" t="str">
        <x:v>Statuses requiring review</x:v>
      </x:c>
      <x:c r="B5" s="9" t="n">
        <x:f>COUNTIF(Payments_50_Cleaned!H2:H51,"Review")</x:f>
        <x:v>0</x:v>
      </x:c>
      <x:c r="C5" s="10" t="str">
        <x:f>IF(B5=0,"Correct","Check")</x:f>
        <x:v>Correct</x:v>
      </x:c>
    </x:row>
    <x:row r="6" ht="14.399999618530273">
      <x:c r="A6" s="3" t="str">
        <x:v>Valid amounts</x:v>
      </x:c>
      <x:c r="B6" s="9" t="n">
        <x:f>COUNTIF(Payments_50_Cleaned!I2:I51,"Valid")</x:f>
        <x:v>0</x:v>
      </x:c>
      <x:c r="C6" s="10" t="str">
        <x:f>IF(B6=45,"Correct","Check")</x:f>
        <x:v>Check</x:v>
      </x:c>
    </x:row>
    <x:row r="7" ht="14.399999618530273">
      <x:c r="A7" s="3" t="str">
        <x:v>Amounts requiring review</x:v>
      </x:c>
      <x:c r="B7" s="9" t="n">
        <x:f>COUNTIF(Payments_50_Cleaned!I2:I51,"Review")</x:f>
        <x:v>0</x:v>
      </x:c>
      <x:c r="C7" s="10" t="str">
        <x:f>IF(B7=5,"Correct","Check")</x:f>
        <x:v>Check</x:v>
      </x:c>
    </x:row>
    <x:row r="8" ht="14.399999618530273">
      <x:c r="A8" s="3" t="str">
        <x:v>Payments with Canceled status</x:v>
      </x:c>
      <x:c r="B8" s="9" t="n">
        <x:f>COUNTIF(Payments_50_Cleaned!G2:G51,"Canceled")</x:f>
        <x:v>0</x:v>
      </x:c>
      <x:c r="C8" s="10" t="str">
        <x:f>IF(B8=6,"Correct","Check")</x:f>
        <x:v>Check</x:v>
      </x:c>
    </x:row>
    <x:row r="11">
      <x:c r="A11" s="35" t="str">
        <x:v>Hints</x:v>
      </x:c>
      <x:c r="B11" s="35"/>
      <x:c r="C11" s="35"/>
      <x:c r="D11" s="35"/>
    </x:row>
    <x:row r="12" ht="55.20000076293945">
      <x:c r="A12" s="5" t="s">
        <x:v>0</x:v>
      </x:c>
      <x:c r="B12" s="4" t="str">
        <x:v>Valid statuses: count "Valid" in Pagos_50_Limpio!H2:H51</x:v>
      </x:c>
    </x:row>
    <x:row r="13" ht="55.20000076293945">
      <x:c r="A13" s="5" t="s">
        <x:v>1</x:v>
      </x:c>
      <x:c r="B13" s="4" t="str">
        <x:v>Statuses requiring review: count "Review" in Pagos_50_Limpio!H2:H51</x:v>
      </x:c>
    </x:row>
    <x:row r="14" ht="41.400001525878906">
      <x:c r="A14" s="5" t="s">
        <x:v>2</x:v>
      </x:c>
      <x:c r="B14" s="4" t="str">
        <x:v>Valid amounts: count "Valid" in Pagos_50_Limpio!I2:I51</x:v>
      </x:c>
    </x:row>
    <x:row r="15" ht="41.400001525878906">
      <x:c r="A15" s="5" t="s">
        <x:v>3</x:v>
      </x:c>
      <x:c r="B15" s="4" t="str">
        <x:v>Amounts requiring review: count "Review" in Pagos_50_Limpio!I2:I51</x:v>
      </x:c>
    </x:row>
    <x:row r="16" ht="55.20000076293945">
      <x:c r="A16" s="5" t="s">
        <x:v>4</x:v>
      </x:c>
      <x:c r="B16" s="4" t="str">
        <x:v>Canceled payments: count "Canceled" in Pagos_50_Limpio!G2:G51</x:v>
      </x:c>
    </x:row>
  </x:sheetData>
  <x:mergeCells>
    <x:mergeCell ref="A1:D1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796875" defaultRowHeight="13.800000190734863"/>
  <x:cols>
    <x:col min="1" max="1" width="17" customWidth="1"/>
    <x:col min="2" max="2" width="23" customWidth="1"/>
    <x:col min="3" max="3" width="20.296875" customWidth="1"/>
    <x:col min="4" max="4" width="12.69921875" customWidth="1"/>
    <x:col min="5" max="5" width="13" customWidth="1"/>
    <x:col min="6" max="7" width="20" customWidth="1"/>
    <x:col min="8" max="8" width="16" customWidth="1"/>
    <x:col min="9" max="9" width="15" customWidth="1"/>
    <x:col min="10" max="10" width="12.796875" customWidth="1"/>
  </x:cols>
  <x:sheetData>
    <x:row r="1" ht="22.350000381469727" customHeight="1">
      <x:c r="A1" s="7" t="str">
        <x:v>Payment_ID</x:v>
      </x:c>
      <x:c r="B1" s="7" t="str">
        <x:v>Name_Entered</x:v>
      </x:c>
      <x:c r="C1" s="8" t="str">
        <x:v>Clean_Name</x:v>
      </x:c>
      <x:c r="D1" s="7" t="str">
        <x:v>Date</x:v>
      </x:c>
      <x:c r="E1" s="7" t="str">
        <x:v>Financial_Product</x:v>
      </x:c>
      <x:c r="F1" s="7" t="str">
        <x:v>Amount</x:v>
      </x:c>
      <x:c r="G1" s="7" t="str">
        <x:v>Status_Entered</x:v>
      </x:c>
      <x:c r="H1" s="7" t="str">
        <x:v>Status_Quality</x:v>
      </x:c>
      <x:c r="I1" s="7" t="str">
        <x:v>Amount_Quality</x:v>
      </x:c>
      <x:c r="J1" s="7" t="str">
        <x:v>Verification</x:v>
      </x:c>
    </x:row>
    <x:row r="2" ht="14.399999618530273">
      <x:c r="A2" s="3" t="s">
        <x:v>5</x:v>
      </x:c>
      <x:c r="B2" s="3" t="s">
        <x:v>6</x:v>
      </x:c>
      <x:c r="C2" s="1" t="str">
        <x:f t="shared" ref="C2:C33" si="0">TRIM(B2)</x:f>
        <x:v>Ana López</x:v>
      </x:c>
      <x:c r="D2" s="11">
        <x:v>46204</x:v>
      </x:c>
      <x:c r="E2" s="3" t="str">
        <x:v>Credit card</x:v>
      </x:c>
      <x:c r="F2" s="12">
        <x:v>461.75</x:v>
      </x:c>
      <x:c r="G2" s="3" t="str">
        <x:v>Rejected</x:v>
      </x:c>
      <x:c r="H2" s="13" t="str">
        <x:f t="shared" ref="H2:H33" si="1">IF(OR(E2&lt;=0),"Review","Valid")</x:f>
        <x:v>Valid</x:v>
      </x:c>
      <x:c r="I2" s="9" t="str">
        <x:f>IF(OR(E2="",E2=0),"Review","Valid")</x:f>
        <x:v>Valid</x:v>
      </x:c>
      <x:c r="J2" s="10" t="e">
        <x:f>IF(AND(Payments_50_Original!A2="Ana López", Payments_50_Original!G2="Rejected", H2="Valid", I2="Valid"), "Correct", "Check")</x:f>
        <x:v>#REF!</x:v>
      </x:c>
    </x:row>
    <x:row r="3" ht="14.399999618530273">
      <x:c r="A3" s="3" t="s">
        <x:v>7</x:v>
      </x:c>
      <x:c r="B3" s="3" t="s">
        <x:v>8</x:v>
      </x:c>
      <x:c r="C3" s="1" t="str">
        <x:f t="shared" si="0"/>
        <x:v>Carlos Ruiz</x:v>
      </x:c>
      <x:c r="D3" s="11">
        <x:v>46205</x:v>
      </x:c>
      <x:c r="E3" s="3" t="str">
        <x:v>Personal loan</x:v>
      </x:c>
      <x:c r="F3" s="12">
        <x:v>673.5</x:v>
      </x:c>
      <x:c r="G3" s="3" t="str">
        <x:v>REJECTED</x:v>
      </x:c>
      <x:c r="H3" s="13" t="str">
        <x:f t="shared" si="1"/>
        <x:v>Valid</x:v>
      </x:c>
      <x:c r="I3" s="9" t="str">
        <x:f t="shared" ref="I3:I51" si="2">IF(OR(E3="",E3=0),"Review","Valid")</x:f>
        <x:v>Valid</x:v>
      </x:c>
      <x:c r="J3" s="10" t="e">
        <x:f>IF(AND(Payments_50_Original!A3="Ana López", Payments_50_Original!G3="Rejected", H3="Valid", I3="Valid"), "Correct", "Check")</x:f>
        <x:v>#REF!</x:v>
      </x:c>
    </x:row>
    <x:row r="4" ht="14.399999618530273">
      <x:c r="A4" s="3" t="s">
        <x:v>9</x:v>
      </x:c>
      <x:c r="B4" s="3" t="s">
        <x:v>10</x:v>
      </x:c>
      <x:c r="C4" s="1" t="str">
        <x:f t="shared" si="0"/>
        <x:v>María Torres</x:v>
      </x:c>
      <x:c r="D4" s="11">
        <x:v>46206</x:v>
      </x:c>
      <x:c r="E4" s="3" t="str">
        <x:v>Digital account</x:v>
      </x:c>
      <x:c r="F4" s="12">
        <x:v>883</x:v>
      </x:c>
      <x:c r="G4" s="3" t="str">
        <x:v>Approved</x:v>
      </x:c>
      <x:c r="H4" s="13" t="str">
        <x:f t="shared" si="1"/>
        <x:v>Valid</x:v>
      </x:c>
      <x:c r="I4" s="9" t="str">
        <x:f t="shared" si="2"/>
        <x:v>Valid</x:v>
      </x:c>
      <x:c r="J4" s="10" t="e">
        <x:f>IF(AND(Payments_50_Original!A4="Ana López", Payments_50_Original!G4="Rejected", H4="Valid", I4="Valid"), "Correct", "Check")</x:f>
        <x:v>#REF!</x:v>
      </x:c>
    </x:row>
    <x:row r="5" ht="14.399999618530273">
      <x:c r="A5" s="3" t="s">
        <x:v>11</x:v>
      </x:c>
      <x:c r="B5" s="3" t="s">
        <x:v>12</x:v>
      </x:c>
      <x:c r="C5" s="1" t="str">
        <x:f t="shared" si="0"/>
        <x:v>José Pérez</x:v>
      </x:c>
      <x:c r="D5" s="11">
        <x:v>46207</x:v>
      </x:c>
      <x:c r="E5" s="3" t="s">
        <x:v>13</x:v>
      </x:c>
      <x:c r="F5" s="12">
        <x:v>1094.75</x:v>
      </x:c>
      <x:c r="G5" s="3" t="str">
        <x:v>Approved</x:v>
      </x:c>
      <x:c r="H5" s="13" t="str">
        <x:f t="shared" si="1"/>
        <x:v>Valid</x:v>
      </x:c>
      <x:c r="I5" s="9" t="str">
        <x:f t="shared" si="2"/>
        <x:v>Valid</x:v>
      </x:c>
      <x:c r="J5" s="10" t="e">
        <x:f>IF(AND(Payments_50_Original!A5="Ana López", Payments_50_Original!G5="Rejected", H5="Valid", I5="Valid"), "Correct", "Check")</x:f>
        <x:v>#REF!</x:v>
      </x:c>
    </x:row>
    <x:row r="6" ht="14.399999618530273">
      <x:c r="A6" s="3" t="s">
        <x:v>14</x:v>
      </x:c>
      <x:c r="B6" s="3" t="s">
        <x:v>15</x:v>
      </x:c>
      <x:c r="C6" s="1" t="str">
        <x:f t="shared" si="0"/>
        <x:v>Laura Díaz</x:v>
      </x:c>
      <x:c r="D6" s="11">
        <x:v>46208</x:v>
      </x:c>
      <x:c r="E6" s="3" t="str">
        <x:v>Credit card</x:v>
      </x:c>
      <x:c r="F6" s="12">
        <x:v>1306.5</x:v>
      </x:c>
      <x:c r="G6" s="3" t="str">
        <x:v>Canceled</x:v>
      </x:c>
      <x:c r="H6" s="13" t="str">
        <x:f t="shared" si="1"/>
        <x:v>Valid</x:v>
      </x:c>
      <x:c r="I6" s="9" t="str">
        <x:f t="shared" si="2"/>
        <x:v>Valid</x:v>
      </x:c>
      <x:c r="J6" s="10" t="e">
        <x:f>IF(AND(Payments_50_Original!A6="Ana López", Payments_50_Original!G6="Rejected", H6="Valid", I6="Valid"), "Correct", "Check")</x:f>
        <x:v>#REF!</x:v>
      </x:c>
    </x:row>
    <x:row r="7" ht="14.399999618530273">
      <x:c r="A7" s="3" t="s">
        <x:v>16</x:v>
      </x:c>
      <x:c r="B7" s="3" t="s">
        <x:v>17</x:v>
      </x:c>
      <x:c r="C7" s="1" t="str">
        <x:f t="shared" si="0"/>
        <x:v>Miguel Soto</x:v>
      </x:c>
      <x:c r="D7" s="11">
        <x:v>46209</x:v>
      </x:c>
      <x:c r="E7" s="3" t="str">
        <x:v>Personal loan</x:v>
      </x:c>
      <x:c r="F7" s="12">
        <x:v>1516</x:v>
      </x:c>
      <x:c r="G7" s="3" t="str">
        <x:v>Pending</x:v>
      </x:c>
      <x:c r="H7" s="13" t="str">
        <x:f t="shared" si="1"/>
        <x:v>Valid</x:v>
      </x:c>
      <x:c r="I7" s="9" t="str">
        <x:f t="shared" si="2"/>
        <x:v>Valid</x:v>
      </x:c>
      <x:c r="J7" s="10" t="e">
        <x:f>IF(AND(Payments_50_Original!A7="Ana López", Payments_50_Original!G7="Rejected", H7="Valid", I7="Valid"), "Correct", "Check")</x:f>
        <x:v>#REF!</x:v>
      </x:c>
    </x:row>
    <x:row r="8" ht="14.399999618530273">
      <x:c r="A8" s="3" t="s">
        <x:v>18</x:v>
      </x:c>
      <x:c r="B8" s="3" t="s">
        <x:v>19</x:v>
      </x:c>
      <x:c r="C8" s="1" t="str">
        <x:f t="shared" si="0"/>
        <x:v>Sofía Ramos</x:v>
      </x:c>
      <x:c r="D8" s="11">
        <x:v>46210</x:v>
      </x:c>
      <x:c r="E8" s="3" t="str">
        <x:v>Digital account</x:v>
      </x:c>
      <x:c r="F8" s="12">
        <x:v>1727.75</x:v>
      </x:c>
      <x:c r="G8" s="3" t="str">
        <x:v>pending</x:v>
      </x:c>
      <x:c r="H8" s="13" t="str">
        <x:f t="shared" si="1"/>
        <x:v>Valid</x:v>
      </x:c>
      <x:c r="I8" s="9" t="str">
        <x:f t="shared" si="2"/>
        <x:v>Valid</x:v>
      </x:c>
      <x:c r="J8" s="10" t="e">
        <x:f>IF(AND(Payments_50_Original!A8="Ana López", Payments_50_Original!G8="Rejected", H8="Valid", I8="Valid"), "Correct", "Check")</x:f>
        <x:v>#REF!</x:v>
      </x:c>
    </x:row>
    <x:row r="9" ht="14.399999618530273">
      <x:c r="A9" s="3" t="s">
        <x:v>20</x:v>
      </x:c>
      <x:c r="B9" s="3" t="s">
        <x:v>21</x:v>
      </x:c>
      <x:c r="C9" s="1" t="str">
        <x:f t="shared" si="0"/>
        <x:v>Daniel Cruz</x:v>
      </x:c>
      <x:c r="D9" s="11">
        <x:v>46211</x:v>
      </x:c>
      <x:c r="E9" s="3" t="s">
        <x:v>13</x:v>
      </x:c>
      <x:c r="F9" s="12">
        <x:v>0</x:v>
      </x:c>
      <x:c r="G9" s="3" t="str">
        <x:v>Approved</x:v>
      </x:c>
      <x:c r="H9" s="13" t="str">
        <x:f t="shared" si="1"/>
        <x:v>Valid</x:v>
      </x:c>
      <x:c r="I9" s="9" t="str">
        <x:f t="shared" si="2"/>
        <x:v>Valid</x:v>
      </x:c>
      <x:c r="J9" s="10" t="e">
        <x:f>IF(AND(Payments_50_Original!A9="Ana López", Payments_50_Original!G9="Rejected", H9="Valid", I9="Valid"), "Correct", "Check")</x:f>
        <x:v>#REF!</x:v>
      </x:c>
    </x:row>
    <x:row r="10" ht="14.399999618530273">
      <x:c r="A10" s="3" t="s">
        <x:v>22</x:v>
      </x:c>
      <x:c r="B10" s="3" t="s">
        <x:v>6</x:v>
      </x:c>
      <x:c r="C10" s="1" t="str">
        <x:f t="shared" si="0"/>
        <x:v>Ana López</x:v>
      </x:c>
      <x:c r="D10" s="11">
        <x:v>46212</x:v>
      </x:c>
      <x:c r="E10" s="3" t="str">
        <x:v>Credit card</x:v>
      </x:c>
      <x:c r="F10" s="12">
        <x:v>2149</x:v>
      </x:c>
      <x:c r="G10" s="3" t="str">
        <x:v>Rejected</x:v>
      </x:c>
      <x:c r="H10" s="13" t="str">
        <x:f t="shared" si="1"/>
        <x:v>Valid</x:v>
      </x:c>
      <x:c r="I10" s="9" t="str">
        <x:f t="shared" si="2"/>
        <x:v>Valid</x:v>
      </x:c>
      <x:c r="J10" s="10" t="e">
        <x:f>IF(AND(Payments_50_Original!A10="Ana López", Payments_50_Original!G10="Rejected", H10="Valid", I10="Valid"), "Correct", "Check")</x:f>
        <x:v>#REF!</x:v>
      </x:c>
    </x:row>
    <x:row r="11" ht="14.399999618530273">
      <x:c r="A11" s="3" t="s">
        <x:v>23</x:v>
      </x:c>
      <x:c r="B11" s="3" t="s">
        <x:v>8</x:v>
      </x:c>
      <x:c r="C11" s="1" t="str">
        <x:f t="shared" si="0"/>
        <x:v>Carlos Ruiz</x:v>
      </x:c>
      <x:c r="D11" s="11">
        <x:v>46213</x:v>
      </x:c>
      <x:c r="E11" s="3" t="str">
        <x:v>Personal loan</x:v>
      </x:c>
      <x:c r="F11" s="12">
        <x:v>2360.75</x:v>
      </x:c>
      <x:c r="G11" s="3" t="str">
        <x:v>REJECTED</x:v>
      </x:c>
      <x:c r="H11" s="13" t="str">
        <x:f t="shared" si="1"/>
        <x:v>Valid</x:v>
      </x:c>
      <x:c r="I11" s="9" t="str">
        <x:f t="shared" si="2"/>
        <x:v>Valid</x:v>
      </x:c>
      <x:c r="J11" s="10" t="e">
        <x:f>IF(AND(Payments_50_Original!A11="Ana López", Payments_50_Original!G11="Rejected", H11="Valid", I11="Valid"), "Correct", "Check")</x:f>
        <x:v>#REF!</x:v>
      </x:c>
    </x:row>
    <x:row r="12" ht="14.399999618530273">
      <x:c r="A12" s="3" t="s">
        <x:v>24</x:v>
      </x:c>
      <x:c r="B12" s="3" t="s">
        <x:v>10</x:v>
      </x:c>
      <x:c r="C12" s="1" t="str">
        <x:f t="shared" si="0"/>
        <x:v>María Torres</x:v>
      </x:c>
      <x:c r="D12" s="11">
        <x:v>46214</x:v>
      </x:c>
      <x:c r="E12" s="3" t="str">
        <x:v>Digital account</x:v>
      </x:c>
      <x:c r="F12" s="12">
        <x:v>2572.5</x:v>
      </x:c>
      <x:c r="G12" s="3" t="str">
        <x:v>Approved</x:v>
      </x:c>
      <x:c r="H12" s="13" t="str">
        <x:f t="shared" si="1"/>
        <x:v>Valid</x:v>
      </x:c>
      <x:c r="I12" s="9" t="str">
        <x:f t="shared" si="2"/>
        <x:v>Valid</x:v>
      </x:c>
      <x:c r="J12" s="10" t="e">
        <x:f>IF(AND(Payments_50_Original!A12="Ana López", Payments_50_Original!G12="Rejected", H12="Valid", I12="Valid"), "Correct", "Check")</x:f>
        <x:v>#REF!</x:v>
      </x:c>
    </x:row>
    <x:row r="13" ht="14.399999618530273">
      <x:c r="A13" s="3" t="s">
        <x:v>25</x:v>
      </x:c>
      <x:c r="B13" s="3" t="s">
        <x:v>12</x:v>
      </x:c>
      <x:c r="C13" s="1" t="str">
        <x:f t="shared" si="0"/>
        <x:v>José Pérez</x:v>
      </x:c>
      <x:c r="D13" s="11">
        <x:v>46215</x:v>
      </x:c>
      <x:c r="E13" s="3" t="s">
        <x:v>13</x:v>
      </x:c>
      <x:c r="F13" s="12">
        <x:v>2782</x:v>
      </x:c>
      <x:c r="G13" s="3" t="str">
        <x:v>Approved</x:v>
      </x:c>
      <x:c r="H13" s="13" t="str">
        <x:f t="shared" si="1"/>
        <x:v>Valid</x:v>
      </x:c>
      <x:c r="I13" s="9" t="str">
        <x:f t="shared" si="2"/>
        <x:v>Valid</x:v>
      </x:c>
      <x:c r="J13" s="10" t="e">
        <x:f>IF(AND(Payments_50_Original!A13="Ana López", Payments_50_Original!G13="Rejected", H13="Valid", I13="Valid"), "Correct", "Check")</x:f>
        <x:v>#REF!</x:v>
      </x:c>
    </x:row>
    <x:row r="14" ht="14.399999618530273">
      <x:c r="A14" s="3" t="s">
        <x:v>26</x:v>
      </x:c>
      <x:c r="B14" s="3" t="s">
        <x:v>15</x:v>
      </x:c>
      <x:c r="C14" s="1" t="str">
        <x:f t="shared" si="0"/>
        <x:v>Laura Díaz</x:v>
      </x:c>
      <x:c r="D14" s="11">
        <x:v>46216</x:v>
      </x:c>
      <x:c r="E14" s="3" t="str">
        <x:v>Credit card</x:v>
      </x:c>
      <x:c r="F14" s="12">
        <x:v>2993.75</x:v>
      </x:c>
      <x:c r="G14" s="3" t="str">
        <x:v>Canceled</x:v>
      </x:c>
      <x:c r="H14" s="13" t="str">
        <x:f t="shared" si="1"/>
        <x:v>Valid</x:v>
      </x:c>
      <x:c r="I14" s="9" t="str">
        <x:f t="shared" si="2"/>
        <x:v>Valid</x:v>
      </x:c>
      <x:c r="J14" s="10" t="e">
        <x:f>IF(AND(Payments_50_Original!A14="Ana López", Payments_50_Original!G14="Rejected", H14="Valid", I14="Valid"), "Correct", "Check")</x:f>
        <x:v>#REF!</x:v>
      </x:c>
    </x:row>
    <x:row r="15" ht="14.399999618530273">
      <x:c r="A15" s="3" t="s">
        <x:v>27</x:v>
      </x:c>
      <x:c r="B15" s="3" t="s">
        <x:v>17</x:v>
      </x:c>
      <x:c r="C15" s="1" t="str">
        <x:f t="shared" si="0"/>
        <x:v>Miguel Soto</x:v>
      </x:c>
      <x:c r="D15" s="11">
        <x:v>46217</x:v>
      </x:c>
      <x:c r="E15" s="3" t="str">
        <x:v>Personal loan</x:v>
      </x:c>
      <x:c r="F15" s="12">
        <x:v>3205.5</x:v>
      </x:c>
      <x:c r="G15" s="3" t="str">
        <x:v>Pending</x:v>
      </x:c>
      <x:c r="H15" s="13" t="str">
        <x:f t="shared" si="1"/>
        <x:v>Valid</x:v>
      </x:c>
      <x:c r="I15" s="9" t="str">
        <x:f t="shared" si="2"/>
        <x:v>Valid</x:v>
      </x:c>
      <x:c r="J15" s="10" t="e">
        <x:f>IF(AND(Payments_50_Original!A15="Ana López", Payments_50_Original!G15="Rejected", H15="Valid", I15="Valid"), "Correct", "Check")</x:f>
        <x:v>#REF!</x:v>
      </x:c>
    </x:row>
    <x:row r="16" ht="14.399999618530273">
      <x:c r="A16" s="3" t="s">
        <x:v>28</x:v>
      </x:c>
      <x:c r="B16" s="3" t="s">
        <x:v>19</x:v>
      </x:c>
      <x:c r="C16" s="1" t="str">
        <x:f t="shared" si="0"/>
        <x:v>Sofía Ramos</x:v>
      </x:c>
      <x:c r="D16" s="11">
        <x:v>46218</x:v>
      </x:c>
      <x:c r="E16" s="3" t="str">
        <x:v>Digital account</x:v>
      </x:c>
      <x:c r="F16" s="12">
        <x:v>3415</x:v>
      </x:c>
      <x:c r="G16" s="3" t="str">
        <x:v>pending</x:v>
      </x:c>
      <x:c r="H16" s="13" t="str">
        <x:f t="shared" si="1"/>
        <x:v>Valid</x:v>
      </x:c>
      <x:c r="I16" s="9" t="str">
        <x:f t="shared" si="2"/>
        <x:v>Valid</x:v>
      </x:c>
      <x:c r="J16" s="10" t="e">
        <x:f>IF(AND(Payments_50_Original!A16="Ana López", Payments_50_Original!G16="Rejected", H16="Valid", I16="Valid"), "Correct", "Check")</x:f>
        <x:v>#REF!</x:v>
      </x:c>
    </x:row>
    <x:row r="17" ht="14.399999618530273">
      <x:c r="A17" s="3" t="s">
        <x:v>29</x:v>
      </x:c>
      <x:c r="B17" s="3" t="s">
        <x:v>21</x:v>
      </x:c>
      <x:c r="C17" s="1" t="str">
        <x:f t="shared" si="0"/>
        <x:v>Daniel Cruz</x:v>
      </x:c>
      <x:c r="D17" s="11">
        <x:v>46219</x:v>
      </x:c>
      <x:c r="E17" s="3" t="s">
        <x:v>13</x:v>
      </x:c>
      <x:c r="F17" s="12">
        <x:v>3626.75</x:v>
      </x:c>
      <x:c r="G17" s="3" t="str">
        <x:v>Approved</x:v>
      </x:c>
      <x:c r="H17" s="13" t="str">
        <x:f t="shared" si="1"/>
        <x:v>Valid</x:v>
      </x:c>
      <x:c r="I17" s="9" t="str">
        <x:f t="shared" si="2"/>
        <x:v>Valid</x:v>
      </x:c>
      <x:c r="J17" s="10" t="e">
        <x:f>IF(AND(Payments_50_Original!A17="Ana López", Payments_50_Original!G17="Rejected", H17="Valid", I17="Valid"), "Correct", "Check")</x:f>
        <x:v>#REF!</x:v>
      </x:c>
    </x:row>
    <x:row r="18" ht="14.399999618530273">
      <x:c r="A18" s="3" t="s">
        <x:v>30</x:v>
      </x:c>
      <x:c r="B18" s="3" t="s">
        <x:v>6</x:v>
      </x:c>
      <x:c r="C18" s="1" t="str">
        <x:f t="shared" si="0"/>
        <x:v>Ana López</x:v>
      </x:c>
      <x:c r="D18" s="11">
        <x:v>46220</x:v>
      </x:c>
      <x:c r="E18" s="3" t="str">
        <x:v>Credit card</x:v>
      </x:c>
      <x:c r="F18" s="12"/>
      <x:c r="G18" s="3" t="str">
        <x:v>Rejected</x:v>
      </x:c>
      <x:c r="H18" s="13" t="str">
        <x:f t="shared" si="1"/>
        <x:v>Valid</x:v>
      </x:c>
      <x:c r="I18" s="9" t="str">
        <x:f t="shared" si="2"/>
        <x:v>Valid</x:v>
      </x:c>
      <x:c r="J18" s="10" t="e">
        <x:f>IF(AND(Payments_50_Original!A18="Ana López", Payments_50_Original!G18="Rejected", H18="Valid", I18="Valid"), "Correct", "Check")</x:f>
        <x:v>#REF!</x:v>
      </x:c>
    </x:row>
    <x:row r="19" ht="14.399999618530273">
      <x:c r="A19" s="3" t="s">
        <x:v>31</x:v>
      </x:c>
      <x:c r="B19" s="3" t="s">
        <x:v>8</x:v>
      </x:c>
      <x:c r="C19" s="1" t="str">
        <x:f t="shared" si="0"/>
        <x:v>Carlos Ruiz</x:v>
      </x:c>
      <x:c r="D19" s="11">
        <x:v>46221</x:v>
      </x:c>
      <x:c r="E19" s="3" t="str">
        <x:v>Personal loan</x:v>
      </x:c>
      <x:c r="F19" s="12">
        <x:v>4048</x:v>
      </x:c>
      <x:c r="G19" s="3" t="str">
        <x:v>REJECTED</x:v>
      </x:c>
      <x:c r="H19" s="13" t="str">
        <x:f t="shared" si="1"/>
        <x:v>Valid</x:v>
      </x:c>
      <x:c r="I19" s="9" t="str">
        <x:f t="shared" si="2"/>
        <x:v>Valid</x:v>
      </x:c>
      <x:c r="J19" s="10" t="e">
        <x:f>IF(AND(Payments_50_Original!A19="Ana López", Payments_50_Original!G19="Rejected", H19="Valid", I19="Valid"), "Correct", "Check")</x:f>
        <x:v>#REF!</x:v>
      </x:c>
    </x:row>
    <x:row r="20" ht="14.399999618530273">
      <x:c r="A20" s="3" t="s">
        <x:v>32</x:v>
      </x:c>
      <x:c r="B20" s="3" t="s">
        <x:v>10</x:v>
      </x:c>
      <x:c r="C20" s="1" t="str">
        <x:f t="shared" si="0"/>
        <x:v>María Torres</x:v>
      </x:c>
      <x:c r="D20" s="11">
        <x:v>46222</x:v>
      </x:c>
      <x:c r="E20" s="3" t="str">
        <x:v>Digital account</x:v>
      </x:c>
      <x:c r="F20" s="12">
        <x:v>4259.75</x:v>
      </x:c>
      <x:c r="G20" s="3" t="str">
        <x:v>Approved</x:v>
      </x:c>
      <x:c r="H20" s="13" t="str">
        <x:f t="shared" si="1"/>
        <x:v>Valid</x:v>
      </x:c>
      <x:c r="I20" s="9" t="str">
        <x:f t="shared" si="2"/>
        <x:v>Valid</x:v>
      </x:c>
      <x:c r="J20" s="10" t="e">
        <x:f>IF(AND(Payments_50_Original!A20="Ana López", Payments_50_Original!G20="Rejected", H20="Valid", I20="Valid"), "Correct", "Check")</x:f>
        <x:v>#REF!</x:v>
      </x:c>
    </x:row>
    <x:row r="21" ht="14.399999618530273">
      <x:c r="A21" s="3" t="s">
        <x:v>33</x:v>
      </x:c>
      <x:c r="B21" s="3" t="s">
        <x:v>12</x:v>
      </x:c>
      <x:c r="C21" s="1" t="str">
        <x:f t="shared" si="0"/>
        <x:v>José Pérez</x:v>
      </x:c>
      <x:c r="D21" s="11">
        <x:v>46223</x:v>
      </x:c>
      <x:c r="E21" s="3" t="s">
        <x:v>13</x:v>
      </x:c>
      <x:c r="F21" s="12">
        <x:v>271.5</x:v>
      </x:c>
      <x:c r="G21" s="3" t="str">
        <x:v>Approved</x:v>
      </x:c>
      <x:c r="H21" s="13" t="str">
        <x:f t="shared" si="1"/>
        <x:v>Valid</x:v>
      </x:c>
      <x:c r="I21" s="9" t="str">
        <x:f t="shared" si="2"/>
        <x:v>Valid</x:v>
      </x:c>
      <x:c r="J21" s="10" t="e">
        <x:f>IF(AND(Payments_50_Original!A21="Ana López", Payments_50_Original!G21="Rejected", H21="Valid", I21="Valid"), "Correct", "Check")</x:f>
        <x:v>#REF!</x:v>
      </x:c>
    </x:row>
    <x:row r="22" ht="14.399999618530273">
      <x:c r="A22" s="3" t="s">
        <x:v>34</x:v>
      </x:c>
      <x:c r="B22" s="3" t="s">
        <x:v>15</x:v>
      </x:c>
      <x:c r="C22" s="1" t="str">
        <x:f t="shared" si="0"/>
        <x:v>Laura Díaz</x:v>
      </x:c>
      <x:c r="D22" s="11">
        <x:v>46224</x:v>
      </x:c>
      <x:c r="E22" s="3" t="str">
        <x:v>Credit card</x:v>
      </x:c>
      <x:c r="F22" s="12">
        <x:v>481</x:v>
      </x:c>
      <x:c r="G22" s="3" t="str">
        <x:v>Canceled</x:v>
      </x:c>
      <x:c r="H22" s="13" t="str">
        <x:f t="shared" si="1"/>
        <x:v>Valid</x:v>
      </x:c>
      <x:c r="I22" s="9" t="str">
        <x:f t="shared" si="2"/>
        <x:v>Valid</x:v>
      </x:c>
      <x:c r="J22" s="10" t="e">
        <x:f>IF(AND(Payments_50_Original!A22="Ana López", Payments_50_Original!G22="Rejected", H22="Valid", I22="Valid"), "Correct", "Check")</x:f>
        <x:v>#REF!</x:v>
      </x:c>
    </x:row>
    <x:row r="23" ht="14.399999618530273">
      <x:c r="A23" s="3" t="s">
        <x:v>35</x:v>
      </x:c>
      <x:c r="B23" s="3" t="s">
        <x:v>17</x:v>
      </x:c>
      <x:c r="C23" s="1" t="str">
        <x:f t="shared" si="0"/>
        <x:v>Miguel Soto</x:v>
      </x:c>
      <x:c r="D23" s="11">
        <x:v>46225</x:v>
      </x:c>
      <x:c r="E23" s="3" t="str">
        <x:v>Personal loan</x:v>
      </x:c>
      <x:c r="F23" s="12">
        <x:v>692.75</x:v>
      </x:c>
      <x:c r="G23" s="3" t="str">
        <x:v>Pending</x:v>
      </x:c>
      <x:c r="H23" s="13" t="str">
        <x:f t="shared" si="1"/>
        <x:v>Valid</x:v>
      </x:c>
      <x:c r="I23" s="9" t="str">
        <x:f t="shared" si="2"/>
        <x:v>Valid</x:v>
      </x:c>
      <x:c r="J23" s="10" t="e">
        <x:f>IF(AND(Payments_50_Original!A23="Ana López", Payments_50_Original!G23="Rejected", H23="Valid", I23="Valid"), "Correct", "Check")</x:f>
        <x:v>#REF!</x:v>
      </x:c>
    </x:row>
    <x:row r="24" ht="14.399999618530273">
      <x:c r="A24" s="3" t="s">
        <x:v>36</x:v>
      </x:c>
      <x:c r="B24" s="3" t="s">
        <x:v>19</x:v>
      </x:c>
      <x:c r="C24" s="1" t="str">
        <x:f t="shared" si="0"/>
        <x:v>Sofía Ramos</x:v>
      </x:c>
      <x:c r="D24" s="11">
        <x:v>46226</x:v>
      </x:c>
      <x:c r="E24" s="3" t="str">
        <x:v>Digital account</x:v>
      </x:c>
      <x:c r="F24" s="12">
        <x:v>904.5</x:v>
      </x:c>
      <x:c r="G24" s="3" t="str">
        <x:v>pending</x:v>
      </x:c>
      <x:c r="H24" s="13" t="str">
        <x:f t="shared" si="1"/>
        <x:v>Valid</x:v>
      </x:c>
      <x:c r="I24" s="9" t="str">
        <x:f t="shared" si="2"/>
        <x:v>Valid</x:v>
      </x:c>
      <x:c r="J24" s="10" t="e">
        <x:f>IF(AND(Payments_50_Original!A24="Ana López", Payments_50_Original!G24="Rejected", H24="Valid", I24="Valid"), "Correct", "Check")</x:f>
        <x:v>#REF!</x:v>
      </x:c>
    </x:row>
    <x:row r="25" ht="14.399999618530273">
      <x:c r="A25" s="3" t="s">
        <x:v>37</x:v>
      </x:c>
      <x:c r="B25" s="3" t="s">
        <x:v>21</x:v>
      </x:c>
      <x:c r="C25" s="1" t="str">
        <x:f t="shared" si="0"/>
        <x:v>Daniel Cruz</x:v>
      </x:c>
      <x:c r="D25" s="11">
        <x:v>46227</x:v>
      </x:c>
      <x:c r="E25" s="3" t="s">
        <x:v>13</x:v>
      </x:c>
      <x:c r="F25" s="12">
        <x:v>1114</x:v>
      </x:c>
      <x:c r="G25" s="3" t="str">
        <x:v>Approved</x:v>
      </x:c>
      <x:c r="H25" s="13" t="str">
        <x:f t="shared" si="1"/>
        <x:v>Valid</x:v>
      </x:c>
      <x:c r="I25" s="9" t="str">
        <x:f t="shared" si="2"/>
        <x:v>Valid</x:v>
      </x:c>
      <x:c r="J25" s="10" t="e">
        <x:f>IF(AND(Payments_50_Original!A25="Ana López", Payments_50_Original!G25="Rejected", H25="Valid", I25="Valid"), "Correct", "Check")</x:f>
        <x:v>#REF!</x:v>
      </x:c>
    </x:row>
    <x:row r="26" ht="14.399999618530273">
      <x:c r="A26" s="3" t="s">
        <x:v>38</x:v>
      </x:c>
      <x:c r="B26" s="3" t="s">
        <x:v>6</x:v>
      </x:c>
      <x:c r="C26" s="1" t="str">
        <x:f t="shared" si="0"/>
        <x:v>Ana López</x:v>
      </x:c>
      <x:c r="D26" s="11">
        <x:v>46228</x:v>
      </x:c>
      <x:c r="E26" s="3" t="str">
        <x:v>Credit card</x:v>
      </x:c>
      <x:c r="F26" s="12">
        <x:v>1325.75</x:v>
      </x:c>
      <x:c r="G26" s="3" t="str">
        <x:v>Rejected</x:v>
      </x:c>
      <x:c r="H26" s="13" t="str">
        <x:f t="shared" si="1"/>
        <x:v>Valid</x:v>
      </x:c>
      <x:c r="I26" s="9" t="str">
        <x:f t="shared" si="2"/>
        <x:v>Valid</x:v>
      </x:c>
      <x:c r="J26" s="10" t="e">
        <x:f>IF(AND(Payments_50_Original!A26="Ana López", Payments_50_Original!G26="Rejected", H26="Valid", I26="Valid"), "Correct", "Check")</x:f>
        <x:v>#REF!</x:v>
      </x:c>
    </x:row>
    <x:row r="27" ht="14.399999618530273">
      <x:c r="A27" s="3" t="s">
        <x:v>39</x:v>
      </x:c>
      <x:c r="B27" s="3" t="s">
        <x:v>8</x:v>
      </x:c>
      <x:c r="C27" s="1" t="str">
        <x:f t="shared" si="0"/>
        <x:v>Carlos Ruiz</x:v>
      </x:c>
      <x:c r="D27" s="11">
        <x:v>46204</x:v>
      </x:c>
      <x:c r="E27" s="3" t="str">
        <x:v>Personal loan</x:v>
      </x:c>
      <x:c r="F27" s="12">
        <x:v>1537.5</x:v>
      </x:c>
      <x:c r="G27" s="3" t="str">
        <x:v>REJECTED</x:v>
      </x:c>
      <x:c r="H27" s="13" t="str">
        <x:f t="shared" si="1"/>
        <x:v>Valid</x:v>
      </x:c>
      <x:c r="I27" s="9" t="str">
        <x:f t="shared" si="2"/>
        <x:v>Valid</x:v>
      </x:c>
      <x:c r="J27" s="10" t="e">
        <x:f>IF(AND(Payments_50_Original!A27="Ana López", Payments_50_Original!G27="Rejected", H27="Valid", I27="Valid"), "Correct", "Check")</x:f>
        <x:v>#REF!</x:v>
      </x:c>
    </x:row>
    <x:row r="28" ht="14.399999618530273">
      <x:c r="A28" s="3" t="s">
        <x:v>40</x:v>
      </x:c>
      <x:c r="B28" s="3" t="s">
        <x:v>10</x:v>
      </x:c>
      <x:c r="C28" s="1" t="str">
        <x:f t="shared" si="0"/>
        <x:v>María Torres</x:v>
      </x:c>
      <x:c r="D28" s="11">
        <x:v>46205</x:v>
      </x:c>
      <x:c r="E28" s="3" t="str">
        <x:v>Digital account</x:v>
      </x:c>
      <x:c r="F28" s="12">
        <x:v>1747</x:v>
      </x:c>
      <x:c r="G28" s="3" t="str">
        <x:v>Approved</x:v>
      </x:c>
      <x:c r="H28" s="13" t="str">
        <x:f t="shared" si="1"/>
        <x:v>Valid</x:v>
      </x:c>
      <x:c r="I28" s="9" t="str">
        <x:f t="shared" si="2"/>
        <x:v>Valid</x:v>
      </x:c>
      <x:c r="J28" s="10" t="e">
        <x:f>IF(AND(Payments_50_Original!A28="Ana López", Payments_50_Original!G28="Rejected", H28="Valid", I28="Valid"), "Correct", "Check")</x:f>
        <x:v>#REF!</x:v>
      </x:c>
    </x:row>
    <x:row r="29" ht="14.399999618530273">
      <x:c r="A29" s="3" t="s">
        <x:v>41</x:v>
      </x:c>
      <x:c r="B29" s="3" t="s">
        <x:v>12</x:v>
      </x:c>
      <x:c r="C29" s="1" t="str">
        <x:f t="shared" si="0"/>
        <x:v>José Pérez</x:v>
      </x:c>
      <x:c r="D29" s="11">
        <x:v>46206</x:v>
      </x:c>
      <x:c r="E29" s="3" t="s">
        <x:v>13</x:v>
      </x:c>
      <x:c r="F29" s="12">
        <x:v>1958.75</x:v>
      </x:c>
      <x:c r="G29" s="3" t="str">
        <x:v>Approved</x:v>
      </x:c>
      <x:c r="H29" s="13" t="str">
        <x:f t="shared" si="1"/>
        <x:v>Valid</x:v>
      </x:c>
      <x:c r="I29" s="9" t="str">
        <x:f t="shared" si="2"/>
        <x:v>Valid</x:v>
      </x:c>
      <x:c r="J29" s="10" t="e">
        <x:f>IF(AND(Payments_50_Original!A29="Ana López", Payments_50_Original!G29="Rejected", H29="Valid", I29="Valid"), "Correct", "Check")</x:f>
        <x:v>#REF!</x:v>
      </x:c>
    </x:row>
    <x:row r="30" ht="14.399999618530273">
      <x:c r="A30" s="3" t="s">
        <x:v>42</x:v>
      </x:c>
      <x:c r="B30" s="3" t="s">
        <x:v>15</x:v>
      </x:c>
      <x:c r="C30" s="1" t="str">
        <x:f t="shared" si="0"/>
        <x:v>Laura Díaz</x:v>
      </x:c>
      <x:c r="D30" s="11">
        <x:v>46207</x:v>
      </x:c>
      <x:c r="E30" s="3" t="str">
        <x:v>Credit card</x:v>
      </x:c>
      <x:c r="F30" s="12"/>
      <x:c r="G30" s="3" t="str">
        <x:v>Canceled</x:v>
      </x:c>
      <x:c r="H30" s="13" t="str">
        <x:f t="shared" si="1"/>
        <x:v>Valid</x:v>
      </x:c>
      <x:c r="I30" s="9" t="str">
        <x:f t="shared" si="2"/>
        <x:v>Valid</x:v>
      </x:c>
      <x:c r="J30" s="10" t="e">
        <x:f>IF(AND(Payments_50_Original!A30="Ana López", Payments_50_Original!G30="Rejected", H30="Valid", I30="Valid"), "Correct", "Check")</x:f>
        <x:v>#REF!</x:v>
      </x:c>
    </x:row>
    <x:row r="31" ht="14.399999618530273">
      <x:c r="A31" s="3" t="s">
        <x:v>43</x:v>
      </x:c>
      <x:c r="B31" s="3" t="s">
        <x:v>17</x:v>
      </x:c>
      <x:c r="C31" s="1" t="str">
        <x:f t="shared" si="0"/>
        <x:v>Miguel Soto</x:v>
      </x:c>
      <x:c r="D31" s="11">
        <x:v>46208</x:v>
      </x:c>
      <x:c r="E31" s="3" t="str">
        <x:v>Personal loan</x:v>
      </x:c>
      <x:c r="F31" s="12">
        <x:v>2380</x:v>
      </x:c>
      <x:c r="G31" s="3" t="str">
        <x:v>Pending</x:v>
      </x:c>
      <x:c r="H31" s="13" t="str">
        <x:f t="shared" si="1"/>
        <x:v>Valid</x:v>
      </x:c>
      <x:c r="I31" s="9" t="str">
        <x:f t="shared" si="2"/>
        <x:v>Valid</x:v>
      </x:c>
      <x:c r="J31" s="10" t="e">
        <x:f>IF(AND(Payments_50_Original!A31="Ana López", Payments_50_Original!G31="Rejected", H31="Valid", I31="Valid"), "Correct", "Check")</x:f>
        <x:v>#REF!</x:v>
      </x:c>
    </x:row>
    <x:row r="32" ht="14.399999618530273">
      <x:c r="A32" s="3" t="s">
        <x:v>44</x:v>
      </x:c>
      <x:c r="B32" s="3" t="s">
        <x:v>19</x:v>
      </x:c>
      <x:c r="C32" s="1" t="str">
        <x:f t="shared" si="0"/>
        <x:v>Sofía Ramos</x:v>
      </x:c>
      <x:c r="D32" s="11">
        <x:v>46209</x:v>
      </x:c>
      <x:c r="E32" s="3" t="str">
        <x:v>Digital account</x:v>
      </x:c>
      <x:c r="F32" s="12">
        <x:v>2591.75</x:v>
      </x:c>
      <x:c r="G32" s="3" t="str">
        <x:v>pending</x:v>
      </x:c>
      <x:c r="H32" s="13" t="str">
        <x:f t="shared" si="1"/>
        <x:v>Valid</x:v>
      </x:c>
      <x:c r="I32" s="9" t="str">
        <x:f t="shared" si="2"/>
        <x:v>Valid</x:v>
      </x:c>
      <x:c r="J32" s="10" t="e">
        <x:f>IF(AND(Payments_50_Original!A32="Ana López", Payments_50_Original!G32="Rejected", H32="Valid", I32="Valid"), "Correct", "Check")</x:f>
        <x:v>#REF!</x:v>
      </x:c>
    </x:row>
    <x:row r="33" ht="14.399999618530273">
      <x:c r="A33" s="3" t="s">
        <x:v>45</x:v>
      </x:c>
      <x:c r="B33" s="3" t="s">
        <x:v>21</x:v>
      </x:c>
      <x:c r="C33" s="1" t="str">
        <x:f t="shared" si="0"/>
        <x:v>Daniel Cruz</x:v>
      </x:c>
      <x:c r="D33" s="11">
        <x:v>46210</x:v>
      </x:c>
      <x:c r="E33" s="3" t="s">
        <x:v>13</x:v>
      </x:c>
      <x:c r="F33" s="12">
        <x:v>2803.5</x:v>
      </x:c>
      <x:c r="G33" s="3" t="str">
        <x:v>Approved</x:v>
      </x:c>
      <x:c r="H33" s="13" t="str">
        <x:f t="shared" si="1"/>
        <x:v>Valid</x:v>
      </x:c>
      <x:c r="I33" s="9" t="str">
        <x:f t="shared" si="2"/>
        <x:v>Valid</x:v>
      </x:c>
      <x:c r="J33" s="10" t="e">
        <x:f>IF(AND(Payments_50_Original!A33="Ana López", Payments_50_Original!G33="Rejected", H33="Valid", I33="Valid"), "Correct", "Check")</x:f>
        <x:v>#REF!</x:v>
      </x:c>
    </x:row>
    <x:row r="34" ht="14.399999618530273">
      <x:c r="A34" s="3" t="s">
        <x:v>46</x:v>
      </x:c>
      <x:c r="B34" s="3" t="s">
        <x:v>6</x:v>
      </x:c>
      <x:c r="C34" s="1" t="str">
        <x:f t="shared" ref="C34:C51" si="3">TRIM(B34)</x:f>
        <x:v>Ana López</x:v>
      </x:c>
      <x:c r="D34" s="11">
        <x:v>46211</x:v>
      </x:c>
      <x:c r="E34" s="3" t="str">
        <x:v>Credit card</x:v>
      </x:c>
      <x:c r="F34" s="12">
        <x:v>3013</x:v>
      </x:c>
      <x:c r="G34" s="3" t="str">
        <x:v>Rejected</x:v>
      </x:c>
      <x:c r="H34" s="13" t="str">
        <x:f t="shared" ref="H34:H51" si="4">IF(OR(E34&lt;=0),"Review","Valid")</x:f>
        <x:v>Valid</x:v>
      </x:c>
      <x:c r="I34" s="9" t="str">
        <x:f t="shared" si="2"/>
        <x:v>Valid</x:v>
      </x:c>
      <x:c r="J34" s="10" t="e">
        <x:f>IF(AND(Payments_50_Original!A34="Ana López", Payments_50_Original!G34="Rejected", H34="Valid", I34="Valid"), "Correct", "Check")</x:f>
        <x:v>#REF!</x:v>
      </x:c>
    </x:row>
    <x:row r="35" ht="14.399999618530273">
      <x:c r="A35" s="3" t="s">
        <x:v>47</x:v>
      </x:c>
      <x:c r="B35" s="3" t="s">
        <x:v>8</x:v>
      </x:c>
      <x:c r="C35" s="1" t="str">
        <x:f t="shared" si="3"/>
        <x:v>Carlos Ruiz</x:v>
      </x:c>
      <x:c r="D35" s="11">
        <x:v>46212</x:v>
      </x:c>
      <x:c r="E35" s="3" t="str">
        <x:v>Personal loan</x:v>
      </x:c>
      <x:c r="F35" s="12">
        <x:v>3224.75</x:v>
      </x:c>
      <x:c r="G35" s="3" t="str">
        <x:v>REJECTED</x:v>
      </x:c>
      <x:c r="H35" s="13" t="str">
        <x:f t="shared" si="4"/>
        <x:v>Valid</x:v>
      </x:c>
      <x:c r="I35" s="9" t="str">
        <x:f t="shared" si="2"/>
        <x:v>Valid</x:v>
      </x:c>
      <x:c r="J35" s="10" t="e">
        <x:f>IF(AND(Payments_50_Original!A35="Ana López", Payments_50_Original!G35="Rejected", H35="Valid", I35="Valid"), "Correct", "Check")</x:f>
        <x:v>#REF!</x:v>
      </x:c>
    </x:row>
    <x:row r="36" ht="14.399999618530273">
      <x:c r="A36" s="3" t="s">
        <x:v>48</x:v>
      </x:c>
      <x:c r="B36" s="3" t="s">
        <x:v>10</x:v>
      </x:c>
      <x:c r="C36" s="1" t="str">
        <x:f t="shared" si="3"/>
        <x:v>María Torres</x:v>
      </x:c>
      <x:c r="D36" s="11">
        <x:v>46213</x:v>
      </x:c>
      <x:c r="E36" s="3" t="str">
        <x:v>Digital account</x:v>
      </x:c>
      <x:c r="F36" s="12">
        <x:v>3436.5</x:v>
      </x:c>
      <x:c r="G36" s="3" t="str">
        <x:v>Approved</x:v>
      </x:c>
      <x:c r="H36" s="13" t="str">
        <x:f t="shared" si="4"/>
        <x:v>Valid</x:v>
      </x:c>
      <x:c r="I36" s="9" t="str">
        <x:f t="shared" si="2"/>
        <x:v>Valid</x:v>
      </x:c>
      <x:c r="J36" s="10" t="e">
        <x:f>IF(AND(Payments_50_Original!A36="Ana López", Payments_50_Original!G36="Rejected", H36="Valid", I36="Valid"), "Correct", "Check")</x:f>
        <x:v>#REF!</x:v>
      </x:c>
    </x:row>
    <x:row r="37" ht="14.399999618530273">
      <x:c r="A37" s="3" t="s">
        <x:v>49</x:v>
      </x:c>
      <x:c r="B37" s="3" t="s">
        <x:v>12</x:v>
      </x:c>
      <x:c r="C37" s="1" t="str">
        <x:f t="shared" si="3"/>
        <x:v>José Pérez</x:v>
      </x:c>
      <x:c r="D37" s="11">
        <x:v>46214</x:v>
      </x:c>
      <x:c r="E37" s="3" t="s">
        <x:v>13</x:v>
      </x:c>
      <x:c r="F37" s="12">
        <x:v>3646</x:v>
      </x:c>
      <x:c r="G37" s="3" t="str">
        <x:v>Approved</x:v>
      </x:c>
      <x:c r="H37" s="13" t="str">
        <x:f t="shared" si="4"/>
        <x:v>Valid</x:v>
      </x:c>
      <x:c r="I37" s="9" t="str">
        <x:f t="shared" si="2"/>
        <x:v>Valid</x:v>
      </x:c>
      <x:c r="J37" s="10" t="e">
        <x:f>IF(AND(Payments_50_Original!A37="Ana López", Payments_50_Original!G37="Rejected", H37="Valid", I37="Valid"), "Correct", "Check")</x:f>
        <x:v>#REF!</x:v>
      </x:c>
    </x:row>
    <x:row r="38" ht="14.399999618530273">
      <x:c r="A38" s="3" t="s">
        <x:v>50</x:v>
      </x:c>
      <x:c r="B38" s="3" t="s">
        <x:v>15</x:v>
      </x:c>
      <x:c r="C38" s="1" t="str">
        <x:f t="shared" si="3"/>
        <x:v>Laura Díaz</x:v>
      </x:c>
      <x:c r="D38" s="11">
        <x:v>46215</x:v>
      </x:c>
      <x:c r="E38" s="3" t="str">
        <x:v>Credit card</x:v>
      </x:c>
      <x:c r="F38" s="12">
        <x:v>3857.75</x:v>
      </x:c>
      <x:c r="G38" s="3" t="str">
        <x:v>Canceled</x:v>
      </x:c>
      <x:c r="H38" s="13" t="str">
        <x:f t="shared" si="4"/>
        <x:v>Valid</x:v>
      </x:c>
      <x:c r="I38" s="9" t="str">
        <x:f t="shared" si="2"/>
        <x:v>Valid</x:v>
      </x:c>
      <x:c r="J38" s="10" t="e">
        <x:f>IF(AND(Payments_50_Original!A38="Ana López", Payments_50_Original!G38="Rejected", H38="Valid", I38="Valid"), "Correct", "Check")</x:f>
        <x:v>#REF!</x:v>
      </x:c>
    </x:row>
    <x:row r="39" ht="14.399999618530273">
      <x:c r="A39" s="3" t="s">
        <x:v>51</x:v>
      </x:c>
      <x:c r="B39" s="3" t="s">
        <x:v>17</x:v>
      </x:c>
      <x:c r="C39" s="1" t="str">
        <x:f t="shared" si="3"/>
        <x:v>Miguel Soto</x:v>
      </x:c>
      <x:c r="D39" s="11">
        <x:v>46216</x:v>
      </x:c>
      <x:c r="E39" s="3" t="str">
        <x:v>Personal loan</x:v>
      </x:c>
      <x:c r="F39" s="12">
        <x:v>4069.5</x:v>
      </x:c>
      <x:c r="G39" s="3" t="str">
        <x:v>Pending</x:v>
      </x:c>
      <x:c r="H39" s="13" t="str">
        <x:f t="shared" si="4"/>
        <x:v>Valid</x:v>
      </x:c>
      <x:c r="I39" s="9" t="str">
        <x:f t="shared" si="2"/>
        <x:v>Valid</x:v>
      </x:c>
      <x:c r="J39" s="10" t="e">
        <x:f>IF(AND(Payments_50_Original!A39="Ana López", Payments_50_Original!G39="Rejected", H39="Valid", I39="Valid"), "Correct", "Check")</x:f>
        <x:v>#REF!</x:v>
      </x:c>
    </x:row>
    <x:row r="40" ht="14.399999618530273">
      <x:c r="A40" s="3" t="s">
        <x:v>52</x:v>
      </x:c>
      <x:c r="B40" s="3" t="s">
        <x:v>19</x:v>
      </x:c>
      <x:c r="C40" s="1" t="str">
        <x:f t="shared" si="3"/>
        <x:v>Sofía Ramos</x:v>
      </x:c>
      <x:c r="D40" s="11">
        <x:v>46217</x:v>
      </x:c>
      <x:c r="E40" s="3" t="str">
        <x:v>Digital account</x:v>
      </x:c>
      <x:c r="F40" s="12">
        <x:v>4279</x:v>
      </x:c>
      <x:c r="G40" s="3" t="str">
        <x:v>pending</x:v>
      </x:c>
      <x:c r="H40" s="13" t="str">
        <x:f t="shared" si="4"/>
        <x:v>Valid</x:v>
      </x:c>
      <x:c r="I40" s="9" t="str">
        <x:f t="shared" si="2"/>
        <x:v>Valid</x:v>
      </x:c>
      <x:c r="J40" s="10" t="e">
        <x:f>IF(AND(Payments_50_Original!A40="Ana López", Payments_50_Original!G40="Rejected", H40="Valid", I40="Valid"), "Correct", "Check")</x:f>
        <x:v>#REF!</x:v>
      </x:c>
    </x:row>
    <x:row r="41" ht="14.399999618530273">
      <x:c r="A41" s="3" t="s">
        <x:v>53</x:v>
      </x:c>
      <x:c r="B41" s="3" t="s">
        <x:v>21</x:v>
      </x:c>
      <x:c r="C41" s="1" t="str">
        <x:f t="shared" si="3"/>
        <x:v>Daniel Cruz</x:v>
      </x:c>
      <x:c r="D41" s="11">
        <x:v>46218</x:v>
      </x:c>
      <x:c r="E41" s="3" t="s">
        <x:v>13</x:v>
      </x:c>
      <x:c r="F41" s="12">
        <x:v>290.75</x:v>
      </x:c>
      <x:c r="G41" s="3" t="str">
        <x:v>Approved</x:v>
      </x:c>
      <x:c r="H41" s="13" t="str">
        <x:f t="shared" si="4"/>
        <x:v>Valid</x:v>
      </x:c>
      <x:c r="I41" s="9" t="str">
        <x:f t="shared" si="2"/>
        <x:v>Valid</x:v>
      </x:c>
      <x:c r="J41" s="10" t="e">
        <x:f>IF(AND(Payments_50_Original!A41="Ana López", Payments_50_Original!G41="Rejected", H41="Valid", I41="Valid"), "Correct", "Check")</x:f>
        <x:v>#REF!</x:v>
      </x:c>
    </x:row>
    <x:row r="42" ht="14.399999618530273">
      <x:c r="A42" s="3" t="s">
        <x:v>54</x:v>
      </x:c>
      <x:c r="B42" s="3" t="s">
        <x:v>6</x:v>
      </x:c>
      <x:c r="C42" s="1" t="str">
        <x:f t="shared" si="3"/>
        <x:v>Ana López</x:v>
      </x:c>
      <x:c r="D42" s="11">
        <x:v>46219</x:v>
      </x:c>
      <x:c r="E42" s="3" t="str">
        <x:v>Credit card</x:v>
      </x:c>
      <x:c r="F42" s="12"/>
      <x:c r="G42" s="3" t="str">
        <x:v>Rejected</x:v>
      </x:c>
      <x:c r="H42" s="13" t="str">
        <x:f t="shared" si="4"/>
        <x:v>Valid</x:v>
      </x:c>
      <x:c r="I42" s="9" t="str">
        <x:f t="shared" si="2"/>
        <x:v>Valid</x:v>
      </x:c>
      <x:c r="J42" s="10" t="e">
        <x:f>IF(AND(Payments_50_Original!A42="Ana López", Payments_50_Original!G42="Rejected", H42="Valid", I42="Valid"), "Correct", "Check")</x:f>
        <x:v>#REF!</x:v>
      </x:c>
    </x:row>
    <x:row r="43" ht="14.399999618530273">
      <x:c r="A43" s="3" t="s">
        <x:v>55</x:v>
      </x:c>
      <x:c r="B43" s="3" t="s">
        <x:v>8</x:v>
      </x:c>
      <x:c r="C43" s="1" t="str">
        <x:f t="shared" si="3"/>
        <x:v>Carlos Ruiz</x:v>
      </x:c>
      <x:c r="D43" s="11">
        <x:v>46220</x:v>
      </x:c>
      <x:c r="E43" s="3" t="str">
        <x:v>Personal loan</x:v>
      </x:c>
      <x:c r="F43" s="12">
        <x:v>712</x:v>
      </x:c>
      <x:c r="G43" s="3" t="str">
        <x:v>REJECTED</x:v>
      </x:c>
      <x:c r="H43" s="13" t="str">
        <x:f t="shared" si="4"/>
        <x:v>Valid</x:v>
      </x:c>
      <x:c r="I43" s="9" t="str">
        <x:f t="shared" si="2"/>
        <x:v>Valid</x:v>
      </x:c>
      <x:c r="J43" s="10" t="e">
        <x:f>IF(AND(Payments_50_Original!A43="Ana López", Payments_50_Original!G43="Rejected", H43="Valid", I43="Valid"), "Correct", "Check")</x:f>
        <x:v>#REF!</x:v>
      </x:c>
    </x:row>
    <x:row r="44" ht="14.399999618530273">
      <x:c r="A44" s="3" t="s">
        <x:v>56</x:v>
      </x:c>
      <x:c r="B44" s="3" t="s">
        <x:v>10</x:v>
      </x:c>
      <x:c r="C44" s="1" t="str">
        <x:f t="shared" si="3"/>
        <x:v>María Torres</x:v>
      </x:c>
      <x:c r="D44" s="11">
        <x:v>46221</x:v>
      </x:c>
      <x:c r="E44" s="3" t="str">
        <x:v>Digital account</x:v>
      </x:c>
      <x:c r="F44" s="12">
        <x:v>923.75</x:v>
      </x:c>
      <x:c r="G44" s="3" t="str">
        <x:v>Approved</x:v>
      </x:c>
      <x:c r="H44" s="13" t="str">
        <x:f t="shared" si="4"/>
        <x:v>Valid</x:v>
      </x:c>
      <x:c r="I44" s="9" t="str">
        <x:f t="shared" si="2"/>
        <x:v>Valid</x:v>
      </x:c>
      <x:c r="J44" s="10" t="e">
        <x:f>IF(AND(Payments_50_Original!A44="Ana López", Payments_50_Original!G44="Rejected", H44="Valid", I44="Valid"), "Correct", "Check")</x:f>
        <x:v>#REF!</x:v>
      </x:c>
    </x:row>
    <x:row r="45" ht="14.399999618530273">
      <x:c r="A45" s="3" t="s">
        <x:v>57</x:v>
      </x:c>
      <x:c r="B45" s="3" t="s">
        <x:v>12</x:v>
      </x:c>
      <x:c r="C45" s="1" t="str">
        <x:f t="shared" si="3"/>
        <x:v>José Pérez</x:v>
      </x:c>
      <x:c r="D45" s="11">
        <x:v>46222</x:v>
      </x:c>
      <x:c r="E45" s="3" t="s">
        <x:v>13</x:v>
      </x:c>
      <x:c r="F45" s="12">
        <x:v>1135.5</x:v>
      </x:c>
      <x:c r="G45" s="3" t="str">
        <x:v>Approved</x:v>
      </x:c>
      <x:c r="H45" s="13" t="str">
        <x:f t="shared" si="4"/>
        <x:v>Valid</x:v>
      </x:c>
      <x:c r="I45" s="9" t="str">
        <x:f t="shared" si="2"/>
        <x:v>Valid</x:v>
      </x:c>
      <x:c r="J45" s="10" t="e">
        <x:f>IF(AND(Payments_50_Original!A45="Ana López", Payments_50_Original!G45="Rejected", H45="Valid", I45="Valid"), "Correct", "Check")</x:f>
        <x:v>#REF!</x:v>
      </x:c>
    </x:row>
    <x:row r="46" ht="14.399999618530273">
      <x:c r="A46" s="3" t="s">
        <x:v>58</x:v>
      </x:c>
      <x:c r="B46" s="3" t="s">
        <x:v>15</x:v>
      </x:c>
      <x:c r="C46" s="1" t="str">
        <x:f t="shared" si="3"/>
        <x:v>Laura Díaz</x:v>
      </x:c>
      <x:c r="D46" s="11">
        <x:v>46223</x:v>
      </x:c>
      <x:c r="E46" s="3" t="str">
        <x:v>Credit card</x:v>
      </x:c>
      <x:c r="F46" s="12">
        <x:v>1345</x:v>
      </x:c>
      <x:c r="G46" s="3" t="str">
        <x:v>Canceled</x:v>
      </x:c>
      <x:c r="H46" s="13" t="str">
        <x:f t="shared" si="4"/>
        <x:v>Valid</x:v>
      </x:c>
      <x:c r="I46" s="9" t="str">
        <x:f t="shared" si="2"/>
        <x:v>Valid</x:v>
      </x:c>
      <x:c r="J46" s="10" t="e">
        <x:f>IF(AND(Payments_50_Original!A46="Ana López", Payments_50_Original!G46="Rejected", H46="Valid", I46="Valid"), "Correct", "Check")</x:f>
        <x:v>#REF!</x:v>
      </x:c>
    </x:row>
    <x:row r="47" ht="14.399999618530273">
      <x:c r="A47" s="3" t="s">
        <x:v>59</x:v>
      </x:c>
      <x:c r="B47" s="3" t="s">
        <x:v>17</x:v>
      </x:c>
      <x:c r="C47" s="1" t="str">
        <x:f t="shared" si="3"/>
        <x:v>Miguel Soto</x:v>
      </x:c>
      <x:c r="D47" s="11">
        <x:v>46224</x:v>
      </x:c>
      <x:c r="E47" s="3" t="str">
        <x:v>Personal loan</x:v>
      </x:c>
      <x:c r="F47" s="12">
        <x:v>1556.75</x:v>
      </x:c>
      <x:c r="G47" s="3" t="str">
        <x:v>Pending</x:v>
      </x:c>
      <x:c r="H47" s="13" t="str">
        <x:f t="shared" si="4"/>
        <x:v>Valid</x:v>
      </x:c>
      <x:c r="I47" s="9" t="str">
        <x:f t="shared" si="2"/>
        <x:v>Valid</x:v>
      </x:c>
      <x:c r="J47" s="10" t="e">
        <x:f>IF(AND(Payments_50_Original!A47="Ana López", Payments_50_Original!G47="Rejected", H47="Valid", I47="Valid"), "Correct", "Check")</x:f>
        <x:v>#REF!</x:v>
      </x:c>
    </x:row>
    <x:row r="48" ht="14.399999618530273">
      <x:c r="A48" s="3" t="s">
        <x:v>60</x:v>
      </x:c>
      <x:c r="B48" s="3" t="s">
        <x:v>19</x:v>
      </x:c>
      <x:c r="C48" s="1" t="str">
        <x:f t="shared" si="3"/>
        <x:v>Sofía Ramos</x:v>
      </x:c>
      <x:c r="D48" s="11">
        <x:v>46225</x:v>
      </x:c>
      <x:c r="E48" s="3" t="str">
        <x:v>Digital account</x:v>
      </x:c>
      <x:c r="F48" s="12">
        <x:v>1768.5</x:v>
      </x:c>
      <x:c r="G48" s="3" t="str">
        <x:v>pending</x:v>
      </x:c>
      <x:c r="H48" s="13" t="str">
        <x:f t="shared" si="4"/>
        <x:v>Valid</x:v>
      </x:c>
      <x:c r="I48" s="9" t="str">
        <x:f t="shared" si="2"/>
        <x:v>Valid</x:v>
      </x:c>
      <x:c r="J48" s="10" t="e">
        <x:f>IF(AND(Payments_50_Original!A48="Ana López", Payments_50_Original!G48="Rejected", H48="Valid", I48="Valid"), "Correct", "Check")</x:f>
        <x:v>#REF!</x:v>
      </x:c>
    </x:row>
    <x:row r="49" ht="14.399999618530273">
      <x:c r="A49" s="3" t="s">
        <x:v>61</x:v>
      </x:c>
      <x:c r="B49" s="3" t="s">
        <x:v>21</x:v>
      </x:c>
      <x:c r="C49" s="1" t="str">
        <x:f t="shared" si="3"/>
        <x:v>Daniel Cruz</x:v>
      </x:c>
      <x:c r="D49" s="11">
        <x:v>46226</x:v>
      </x:c>
      <x:c r="E49" s="3" t="s">
        <x:v>13</x:v>
      </x:c>
      <x:c r="F49" s="12">
        <x:v>0</x:v>
      </x:c>
      <x:c r="G49" s="3" t="str">
        <x:v>Approved</x:v>
      </x:c>
      <x:c r="H49" s="13" t="str">
        <x:f t="shared" si="4"/>
        <x:v>Valid</x:v>
      </x:c>
      <x:c r="I49" s="9" t="str">
        <x:f t="shared" si="2"/>
        <x:v>Valid</x:v>
      </x:c>
      <x:c r="J49" s="10" t="e">
        <x:f>IF(AND(Payments_50_Original!A49="Ana López", Payments_50_Original!G49="Rejected", H49="Valid", I49="Valid"), "Correct", "Check")</x:f>
        <x:v>#REF!</x:v>
      </x:c>
    </x:row>
    <x:row r="50" ht="14.399999618530273">
      <x:c r="A50" s="3" t="s">
        <x:v>62</x:v>
      </x:c>
      <x:c r="B50" s="3" t="s">
        <x:v>6</x:v>
      </x:c>
      <x:c r="C50" s="1" t="str">
        <x:f t="shared" si="3"/>
        <x:v>Ana López</x:v>
      </x:c>
      <x:c r="D50" s="11">
        <x:v>46227</x:v>
      </x:c>
      <x:c r="E50" s="3" t="str">
        <x:v>Credit card</x:v>
      </x:c>
      <x:c r="F50" s="12">
        <x:v>2189.75</x:v>
      </x:c>
      <x:c r="G50" s="3" t="str">
        <x:v>Rejected</x:v>
      </x:c>
      <x:c r="H50" s="13" t="str">
        <x:f t="shared" si="4"/>
        <x:v>Valid</x:v>
      </x:c>
      <x:c r="I50" s="9" t="str">
        <x:f t="shared" si="2"/>
        <x:v>Valid</x:v>
      </x:c>
      <x:c r="J50" s="10" t="e">
        <x:f>IF(AND(Payments_50_Original!A50="Ana López", Payments_50_Original!G50="Rejected", H50="Valid", I50="Valid"), "Correct", "Check")</x:f>
        <x:v>#REF!</x:v>
      </x:c>
    </x:row>
    <x:row r="51" ht="14.399999618530273">
      <x:c r="A51" s="3" t="s">
        <x:v>63</x:v>
      </x:c>
      <x:c r="B51" s="3" t="s">
        <x:v>8</x:v>
      </x:c>
      <x:c r="C51" s="1" t="str">
        <x:f t="shared" si="3"/>
        <x:v>Carlos Ruiz</x:v>
      </x:c>
      <x:c r="D51" s="11">
        <x:v>46228</x:v>
      </x:c>
      <x:c r="E51" s="3" t="str">
        <x:v>Personal loan</x:v>
      </x:c>
      <x:c r="F51" s="12">
        <x:v>2401.5</x:v>
      </x:c>
      <x:c r="G51" s="3" t="str">
        <x:v>REJECTED</x:v>
      </x:c>
      <x:c r="H51" s="13" t="str">
        <x:f t="shared" si="4"/>
        <x:v>Valid</x:v>
      </x:c>
      <x:c r="I51" s="9" t="str">
        <x:f t="shared" si="2"/>
        <x:v>Valid</x:v>
      </x:c>
      <x:c r="J51" s="10" t="e">
        <x:f>IF(AND(Payments_50_Original!A51="Ana López", Payments_50_Original!G51="Rejected", H51="Valid", I51="Valid"), "Correct", "Check")</x:f>
        <x:v>#REF!</x:v>
      </x:c>
    </x:row>
  </x:sheetData>
  <x:conditionalFormatting sqref="I2:I51">
    <x:cfRule type="expression" dxfId="24" priority="1">
      <x:formula>I2="Revisar"</x:formula>
    </x:cfRule>
    <x:cfRule type="expression" dxfId="23" priority="2">
      <x:formula>I2="Válido"</x:formula>
    </x:cfRule>
  </x:conditionalFormatting>
  <x:conditionalFormatting sqref="I2:I51">
    <x:cfRule type="expression" dxfId="22" priority="3">
      <x:formula>I2="Revisar"</x:formula>
    </x:cfRule>
    <x:cfRule type="expression" dxfId="21" priority="4">
      <x:formula>I2="Válido"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00bc2ceca44977"/>
  </x:tableParts>
</x:worksheet>
</file>

<file path=xl/worksheets/sheet4.xml><?xml version="1.0" encoding="utf-8"?>
<x:worksheet xmlns:x="http://schemas.openxmlformats.org/spreadsheetml/2006/main">
  <x:sheetPr>
    <x:tabColor rgb="FFFF0000"/>
  </x:sheetPr>
  <x:sheetFormatPr baseColWidth="10" defaultRowHeight="13.800000190734863"/>
  <x:cols>
    <x:col min="1" max="1" width="19.59765625" customWidth="1"/>
    <x:col min="2" max="2" width="20.296875" customWidth="1"/>
    <x:col min="4" max="4" width="20.69921875" customWidth="1"/>
    <x:col min="6" max="6" width="19.09765625" customWidth="1"/>
    <x:col min="7" max="7" width="16.09765625" customWidth="1"/>
    <x:col min="8" max="8" width="20.09765625" customWidth="1"/>
    <x:col min="9" max="9" width="15.5" customWidth="1"/>
    <x:col min="10" max="10" width="15.3984375" customWidth="1"/>
  </x:cols>
  <x:sheetData>
    <x:row r="1">
      <x:c r="A1" s="23" t="str">
        <x:v>Name_Entered</x:v>
      </x:c>
      <x:c r="B1" s="23" t="str">
        <x:v>Clean_Name</x:v>
      </x:c>
      <x:c r="C1" s="23" t="str">
        <x:v>Date</x:v>
      </x:c>
      <x:c r="D1" s="23" t="str">
        <x:v>Financial_Product</x:v>
      </x:c>
      <x:c r="E1" s="23" t="str">
        <x:v>Amount</x:v>
      </x:c>
      <x:c r="F1" s="23" t="str">
        <x:v>Status_Entered</x:v>
      </x:c>
      <x:c r="G1" s="23" t="str">
        <x:v>Clean_Status</x:v>
      </x:c>
      <x:c r="H1" s="23" t="str">
        <x:v>Status_Quality</x:v>
      </x:c>
      <x:c r="I1" s="23" t="str">
        <x:v>Amount_Quality</x:v>
      </x:c>
      <x:c r="J1" s="23" t="str">
        <x:v>Verification</x:v>
      </x:c>
    </x:row>
    <x:row r="2" ht="14.399999618530273">
      <x:c r="A2" s="14" t="s">
        <x:v>6</x:v>
      </x:c>
      <x:c r="B2" s="14" t="str">
        <x:f t="shared" ref="B2:B51" si="0">TRIM(A2)</x:f>
        <x:v>Ana López</x:v>
      </x:c>
      <x:c r="C2" s="15">
        <x:v>46204</x:v>
      </x:c>
      <x:c r="D2" s="14" t="str">
        <x:v>Credit card</x:v>
      </x:c>
      <x:c r="E2" s="16">
        <x:v>461.75</x:v>
      </x:c>
      <x:c r="F2" s="14" t="str">
        <x:v>Rejected</x:v>
      </x:c>
      <x:c r="G2" s="17" t="str">
        <x:f t="shared" ref="G2:G33" si="1">TRIM(F2)</x:f>
        <x:v>Rejected</x:v>
      </x:c>
      <x:c r="H2" s="18" t="str">
        <x:f t="shared" ref="H2:H51" si="2">IF(OR(G2="Approved",G2="Rejected",G2="Pending",G2="Canceled"),"Valid","Review")</x:f>
        <x:v>Valid</x:v>
      </x:c>
      <x:c r="I2" s="17" t="str">
        <x:f t="shared" ref="I2:I33" si="3">IF(OR(E2="",E2=0),"Review","Valid")</x:f>
        <x:v>Valid</x:v>
      </x:c>
      <x:c r="J2" s="22" t="str">
        <x:f t="shared" ref="J2:J33" si="4">IF(H2&lt;&gt;"Valid","Check",IF(I2&lt;&gt;"Valid","Check","Correct"))</x:f>
        <x:v>Correct</x:v>
      </x:c>
    </x:row>
    <x:row r="3" ht="14.399999618530273">
      <x:c r="A3" s="19" t="s">
        <x:v>8</x:v>
      </x:c>
      <x:c r="B3" s="19" t="str">
        <x:f t="shared" si="0"/>
        <x:v>Carlos Ruiz</x:v>
      </x:c>
      <x:c r="C3" s="20">
        <x:v>46205</x:v>
      </x:c>
      <x:c r="D3" s="19" t="str">
        <x:v>Personal loan</x:v>
      </x:c>
      <x:c r="E3" s="21">
        <x:v>673.5</x:v>
      </x:c>
      <x:c r="F3" s="19" t="str">
        <x:v>REJECTED</x:v>
      </x:c>
      <x:c r="G3" s="17" t="str">
        <x:f t="shared" si="1"/>
        <x:v>REJECTED</x:v>
      </x:c>
      <x:c r="H3" s="18" t="str">
        <x:f t="shared" si="2"/>
        <x:v>Valid</x:v>
      </x:c>
      <x:c r="I3" s="17" t="str">
        <x:f t="shared" si="3"/>
        <x:v>Valid</x:v>
      </x:c>
      <x:c r="J3" s="22" t="str">
        <x:f t="shared" si="4"/>
        <x:v>Correct</x:v>
      </x:c>
    </x:row>
    <x:row r="4" ht="14.399999618530273">
      <x:c r="A4" s="14" t="s">
        <x:v>10</x:v>
      </x:c>
      <x:c r="B4" s="14" t="str">
        <x:f t="shared" si="0"/>
        <x:v>María Torres</x:v>
      </x:c>
      <x:c r="C4" s="15">
        <x:v>46206</x:v>
      </x:c>
      <x:c r="D4" s="14" t="str">
        <x:v>Digital account</x:v>
      </x:c>
      <x:c r="E4" s="16">
        <x:v>883</x:v>
      </x:c>
      <x:c r="F4" s="14" t="str">
        <x:v>Approved</x:v>
      </x:c>
      <x:c r="G4" s="17" t="str">
        <x:f t="shared" si="1"/>
        <x:v>Approved</x:v>
      </x:c>
      <x:c r="H4" s="18" t="str">
        <x:f t="shared" si="2"/>
        <x:v>Valid</x:v>
      </x:c>
      <x:c r="I4" s="17" t="str">
        <x:f t="shared" si="3"/>
        <x:v>Valid</x:v>
      </x:c>
      <x:c r="J4" s="22" t="str">
        <x:f t="shared" si="4"/>
        <x:v>Correct</x:v>
      </x:c>
    </x:row>
    <x:row r="5" ht="14.399999618530273">
      <x:c r="A5" s="19" t="s">
        <x:v>12</x:v>
      </x:c>
      <x:c r="B5" s="19" t="str">
        <x:f t="shared" si="0"/>
        <x:v>José Pérez</x:v>
      </x:c>
      <x:c r="C5" s="20">
        <x:v>46207</x:v>
      </x:c>
      <x:c r="D5" s="19" t="s">
        <x:v>13</x:v>
      </x:c>
      <x:c r="E5" s="21">
        <x:v>1094.75</x:v>
      </x:c>
      <x:c r="F5" s="19" t="str">
        <x:v>Approved</x:v>
      </x:c>
      <x:c r="G5" s="17" t="str">
        <x:f t="shared" si="1"/>
        <x:v>Approved</x:v>
      </x:c>
      <x:c r="H5" s="18" t="str">
        <x:f t="shared" si="2"/>
        <x:v>Valid</x:v>
      </x:c>
      <x:c r="I5" s="17" t="str">
        <x:f t="shared" si="3"/>
        <x:v>Valid</x:v>
      </x:c>
      <x:c r="J5" s="22" t="str">
        <x:f t="shared" si="4"/>
        <x:v>Correct</x:v>
      </x:c>
    </x:row>
    <x:row r="6" ht="14.399999618530273">
      <x:c r="A6" s="14" t="s">
        <x:v>15</x:v>
      </x:c>
      <x:c r="B6" s="14" t="str">
        <x:f t="shared" si="0"/>
        <x:v>Laura Díaz</x:v>
      </x:c>
      <x:c r="C6" s="15">
        <x:v>46208</x:v>
      </x:c>
      <x:c r="D6" s="14" t="str">
        <x:v>Credit card</x:v>
      </x:c>
      <x:c r="E6" s="16">
        <x:v>1306.5</x:v>
      </x:c>
      <x:c r="F6" s="14" t="str">
        <x:v>Canceled</x:v>
      </x:c>
      <x:c r="G6" s="17" t="str">
        <x:f t="shared" si="1"/>
        <x:v>Canceled</x:v>
      </x:c>
      <x:c r="H6" s="18" t="str">
        <x:f t="shared" si="2"/>
        <x:v>Valid</x:v>
      </x:c>
      <x:c r="I6" s="17" t="str">
        <x:f t="shared" si="3"/>
        <x:v>Valid</x:v>
      </x:c>
      <x:c r="J6" s="22" t="str">
        <x:f t="shared" si="4"/>
        <x:v>Correct</x:v>
      </x:c>
    </x:row>
    <x:row r="7" ht="14.399999618530273">
      <x:c r="A7" s="19" t="s">
        <x:v>17</x:v>
      </x:c>
      <x:c r="B7" s="19" t="str">
        <x:f t="shared" si="0"/>
        <x:v>Miguel Soto</x:v>
      </x:c>
      <x:c r="C7" s="20">
        <x:v>46209</x:v>
      </x:c>
      <x:c r="D7" s="19" t="str">
        <x:v>Personal loan</x:v>
      </x:c>
      <x:c r="E7" s="21">
        <x:v>1516</x:v>
      </x:c>
      <x:c r="F7" s="19" t="str">
        <x:v>Pending</x:v>
      </x:c>
      <x:c r="G7" s="17" t="str">
        <x:f t="shared" si="1"/>
        <x:v>Pending</x:v>
      </x:c>
      <x:c r="H7" s="18" t="str">
        <x:f t="shared" si="2"/>
        <x:v>Valid</x:v>
      </x:c>
      <x:c r="I7" s="17" t="str">
        <x:f t="shared" si="3"/>
        <x:v>Valid</x:v>
      </x:c>
      <x:c r="J7" s="22" t="str">
        <x:f t="shared" si="4"/>
        <x:v>Correct</x:v>
      </x:c>
    </x:row>
    <x:row r="8" ht="14.399999618530273">
      <x:c r="A8" s="14" t="s">
        <x:v>19</x:v>
      </x:c>
      <x:c r="B8" s="14" t="str">
        <x:f t="shared" si="0"/>
        <x:v>Sofía Ramos</x:v>
      </x:c>
      <x:c r="C8" s="15">
        <x:v>46210</x:v>
      </x:c>
      <x:c r="D8" s="14" t="str">
        <x:v>Digital account</x:v>
      </x:c>
      <x:c r="E8" s="16">
        <x:v>1727.75</x:v>
      </x:c>
      <x:c r="F8" s="14" t="str">
        <x:v>pending</x:v>
      </x:c>
      <x:c r="G8" s="17" t="str">
        <x:f t="shared" si="1"/>
        <x:v>pending</x:v>
      </x:c>
      <x:c r="H8" s="18" t="str">
        <x:f t="shared" si="2"/>
        <x:v>Valid</x:v>
      </x:c>
      <x:c r="I8" s="17" t="str">
        <x:f t="shared" si="3"/>
        <x:v>Valid</x:v>
      </x:c>
      <x:c r="J8" s="22" t="str">
        <x:f t="shared" si="4"/>
        <x:v>Correct</x:v>
      </x:c>
    </x:row>
    <x:row r="9" ht="14.399999618530273">
      <x:c r="A9" s="19" t="s">
        <x:v>21</x:v>
      </x:c>
      <x:c r="B9" s="19" t="str">
        <x:f t="shared" si="0"/>
        <x:v>Daniel Cruz</x:v>
      </x:c>
      <x:c r="C9" s="20">
        <x:v>46211</x:v>
      </x:c>
      <x:c r="D9" s="19" t="s">
        <x:v>13</x:v>
      </x:c>
      <x:c r="E9" s="21">
        <x:v>0</x:v>
      </x:c>
      <x:c r="F9" s="19" t="str">
        <x:v>Approved</x:v>
      </x:c>
      <x:c r="G9" s="17" t="str">
        <x:f t="shared" si="1"/>
        <x:v>Approved</x:v>
      </x:c>
      <x:c r="H9" s="18" t="str">
        <x:f t="shared" si="2"/>
        <x:v>Valid</x:v>
      </x:c>
      <x:c r="I9" s="17" t="str">
        <x:f>IF(OR(E9="",E9=0),"Review","Valid")</x:f>
        <x:v>Review</x:v>
      </x:c>
      <x:c r="J9" s="22" t="str">
        <x:f t="shared" si="4"/>
        <x:v>Check</x:v>
      </x:c>
    </x:row>
    <x:row r="10" ht="14.399999618530273">
      <x:c r="A10" s="14" t="s">
        <x:v>6</x:v>
      </x:c>
      <x:c r="B10" s="14" t="str">
        <x:f t="shared" si="0"/>
        <x:v>Ana López</x:v>
      </x:c>
      <x:c r="C10" s="15">
        <x:v>46212</x:v>
      </x:c>
      <x:c r="D10" s="14" t="str">
        <x:v>Credit card</x:v>
      </x:c>
      <x:c r="E10" s="16">
        <x:v>2149</x:v>
      </x:c>
      <x:c r="F10" s="14" t="str">
        <x:v>Rejected</x:v>
      </x:c>
      <x:c r="G10" s="17" t="str">
        <x:f t="shared" si="1"/>
        <x:v>Rejected</x:v>
      </x:c>
      <x:c r="H10" s="18" t="str">
        <x:f t="shared" si="2"/>
        <x:v>Valid</x:v>
      </x:c>
      <x:c r="I10" s="17" t="str">
        <x:f t="shared" si="3"/>
        <x:v>Valid</x:v>
      </x:c>
      <x:c r="J10" s="22" t="str">
        <x:f t="shared" si="4"/>
        <x:v>Correct</x:v>
      </x:c>
    </x:row>
    <x:row r="11" ht="14.399999618530273">
      <x:c r="A11" s="19" t="s">
        <x:v>8</x:v>
      </x:c>
      <x:c r="B11" s="19" t="str">
        <x:f t="shared" si="0"/>
        <x:v>Carlos Ruiz</x:v>
      </x:c>
      <x:c r="C11" s="20">
        <x:v>46213</x:v>
      </x:c>
      <x:c r="D11" s="19" t="str">
        <x:v>Personal loan</x:v>
      </x:c>
      <x:c r="E11" s="21">
        <x:v>2360.75</x:v>
      </x:c>
      <x:c r="F11" s="19" t="str">
        <x:v>REJECTED</x:v>
      </x:c>
      <x:c r="G11" s="17" t="str">
        <x:f t="shared" si="1"/>
        <x:v>REJECTED</x:v>
      </x:c>
      <x:c r="H11" s="18" t="str">
        <x:f t="shared" si="2"/>
        <x:v>Valid</x:v>
      </x:c>
      <x:c r="I11" s="17" t="str">
        <x:f t="shared" si="3"/>
        <x:v>Valid</x:v>
      </x:c>
      <x:c r="J11" s="22" t="str">
        <x:f t="shared" si="4"/>
        <x:v>Correct</x:v>
      </x:c>
      <x:c r="L11" s="28"/>
    </x:row>
    <x:row r="12" ht="14.399999618530273">
      <x:c r="A12" s="14" t="s">
        <x:v>10</x:v>
      </x:c>
      <x:c r="B12" s="14" t="str">
        <x:f t="shared" si="0"/>
        <x:v>María Torres</x:v>
      </x:c>
      <x:c r="C12" s="15">
        <x:v>46214</x:v>
      </x:c>
      <x:c r="D12" s="14" t="str">
        <x:v>Digital account</x:v>
      </x:c>
      <x:c r="E12" s="16">
        <x:v>2572.5</x:v>
      </x:c>
      <x:c r="F12" s="14" t="str">
        <x:v>Approved</x:v>
      </x:c>
      <x:c r="G12" s="17" t="str">
        <x:f t="shared" si="1"/>
        <x:v>Approved</x:v>
      </x:c>
      <x:c r="H12" s="18" t="str">
        <x:f t="shared" si="2"/>
        <x:v>Valid</x:v>
      </x:c>
      <x:c r="I12" s="17" t="str">
        <x:f t="shared" si="3"/>
        <x:v>Valid</x:v>
      </x:c>
      <x:c r="J12" s="22" t="str">
        <x:f t="shared" si="4"/>
        <x:v>Correct</x:v>
      </x:c>
    </x:row>
    <x:row r="13" ht="14.399999618530273">
      <x:c r="A13" s="19" t="s">
        <x:v>12</x:v>
      </x:c>
      <x:c r="B13" s="19" t="str">
        <x:f t="shared" si="0"/>
        <x:v>José Pérez</x:v>
      </x:c>
      <x:c r="C13" s="20">
        <x:v>46215</x:v>
      </x:c>
      <x:c r="D13" s="19" t="s">
        <x:v>13</x:v>
      </x:c>
      <x:c r="E13" s="21">
        <x:v>2782</x:v>
      </x:c>
      <x:c r="F13" s="19" t="str">
        <x:v>Approved</x:v>
      </x:c>
      <x:c r="G13" s="17" t="str">
        <x:f t="shared" si="1"/>
        <x:v>Approved</x:v>
      </x:c>
      <x:c r="H13" s="18" t="str">
        <x:f t="shared" si="2"/>
        <x:v>Valid</x:v>
      </x:c>
      <x:c r="I13" s="17" t="str">
        <x:f t="shared" si="3"/>
        <x:v>Valid</x:v>
      </x:c>
      <x:c r="J13" s="22" t="str">
        <x:f t="shared" si="4"/>
        <x:v>Correct</x:v>
      </x:c>
    </x:row>
    <x:row r="14" ht="14.399999618530273">
      <x:c r="A14" s="14" t="s">
        <x:v>15</x:v>
      </x:c>
      <x:c r="B14" s="14" t="str">
        <x:f t="shared" si="0"/>
        <x:v>Laura Díaz</x:v>
      </x:c>
      <x:c r="C14" s="15">
        <x:v>46216</x:v>
      </x:c>
      <x:c r="D14" s="14" t="str">
        <x:v>Credit card</x:v>
      </x:c>
      <x:c r="E14" s="16">
        <x:v>2993.75</x:v>
      </x:c>
      <x:c r="F14" s="14" t="str">
        <x:v>Canceled</x:v>
      </x:c>
      <x:c r="G14" s="17" t="str">
        <x:f t="shared" si="1"/>
        <x:v>Canceled</x:v>
      </x:c>
      <x:c r="H14" s="18" t="str">
        <x:f t="shared" si="2"/>
        <x:v>Valid</x:v>
      </x:c>
      <x:c r="I14" s="17" t="str">
        <x:f t="shared" si="3"/>
        <x:v>Valid</x:v>
      </x:c>
      <x:c r="J14" s="22" t="str">
        <x:f t="shared" si="4"/>
        <x:v>Correct</x:v>
      </x:c>
    </x:row>
    <x:row r="15" ht="14.399999618530273">
      <x:c r="A15" s="19" t="s">
        <x:v>17</x:v>
      </x:c>
      <x:c r="B15" s="19" t="str">
        <x:f t="shared" si="0"/>
        <x:v>Miguel Soto</x:v>
      </x:c>
      <x:c r="C15" s="20">
        <x:v>46217</x:v>
      </x:c>
      <x:c r="D15" s="19" t="str">
        <x:v>Personal loan</x:v>
      </x:c>
      <x:c r="E15" s="21">
        <x:v>3205.5</x:v>
      </x:c>
      <x:c r="F15" s="19" t="str">
        <x:v>Pending</x:v>
      </x:c>
      <x:c r="G15" s="17" t="str">
        <x:f t="shared" si="1"/>
        <x:v>Pending</x:v>
      </x:c>
      <x:c r="H15" s="18" t="str">
        <x:f t="shared" si="2"/>
        <x:v>Valid</x:v>
      </x:c>
      <x:c r="I15" s="17" t="str">
        <x:f t="shared" si="3"/>
        <x:v>Valid</x:v>
      </x:c>
      <x:c r="J15" s="22" t="str">
        <x:f t="shared" si="4"/>
        <x:v>Correct</x:v>
      </x:c>
    </x:row>
    <x:row r="16" ht="14.399999618530273">
      <x:c r="A16" s="14" t="s">
        <x:v>19</x:v>
      </x:c>
      <x:c r="B16" s="14" t="str">
        <x:f t="shared" si="0"/>
        <x:v>Sofía Ramos</x:v>
      </x:c>
      <x:c r="C16" s="15">
        <x:v>46218</x:v>
      </x:c>
      <x:c r="D16" s="14" t="str">
        <x:v>Digital account</x:v>
      </x:c>
      <x:c r="E16" s="16">
        <x:v>3415</x:v>
      </x:c>
      <x:c r="F16" s="14" t="str">
        <x:v>pending</x:v>
      </x:c>
      <x:c r="G16" s="17" t="str">
        <x:f t="shared" si="1"/>
        <x:v>pending</x:v>
      </x:c>
      <x:c r="H16" s="18" t="str">
        <x:f t="shared" si="2"/>
        <x:v>Valid</x:v>
      </x:c>
      <x:c r="I16" s="17" t="str">
        <x:f t="shared" si="3"/>
        <x:v>Valid</x:v>
      </x:c>
      <x:c r="J16" s="22" t="str">
        <x:f t="shared" si="4"/>
        <x:v>Correct</x:v>
      </x:c>
    </x:row>
    <x:row r="17" ht="14.399999618530273">
      <x:c r="A17" s="19" t="s">
        <x:v>21</x:v>
      </x:c>
      <x:c r="B17" s="19" t="str">
        <x:f t="shared" si="0"/>
        <x:v>Daniel Cruz</x:v>
      </x:c>
      <x:c r="C17" s="20">
        <x:v>46219</x:v>
      </x:c>
      <x:c r="D17" s="19" t="s">
        <x:v>13</x:v>
      </x:c>
      <x:c r="E17" s="21">
        <x:v>3626.75</x:v>
      </x:c>
      <x:c r="F17" s="19" t="str">
        <x:v>Approved</x:v>
      </x:c>
      <x:c r="G17" s="17" t="str">
        <x:f t="shared" si="1"/>
        <x:v>Approved</x:v>
      </x:c>
      <x:c r="H17" s="18" t="str">
        <x:f t="shared" si="2"/>
        <x:v>Valid</x:v>
      </x:c>
      <x:c r="I17" s="17" t="str">
        <x:f t="shared" si="3"/>
        <x:v>Valid</x:v>
      </x:c>
      <x:c r="J17" s="22" t="str">
        <x:f t="shared" si="4"/>
        <x:v>Correct</x:v>
      </x:c>
    </x:row>
    <x:row r="18" ht="14.399999618530273">
      <x:c r="A18" s="14" t="s">
        <x:v>6</x:v>
      </x:c>
      <x:c r="B18" s="14" t="str">
        <x:f t="shared" si="0"/>
        <x:v>Ana López</x:v>
      </x:c>
      <x:c r="C18" s="15">
        <x:v>46220</x:v>
      </x:c>
      <x:c r="D18" s="14" t="str">
        <x:v>Credit card</x:v>
      </x:c>
      <x:c r="E18" s="16"/>
      <x:c r="F18" s="14" t="str">
        <x:v>Rejected</x:v>
      </x:c>
      <x:c r="G18" s="17" t="str">
        <x:f t="shared" si="1"/>
        <x:v>Rejected</x:v>
      </x:c>
      <x:c r="H18" s="18" t="str">
        <x:f t="shared" si="2"/>
        <x:v>Valid</x:v>
      </x:c>
      <x:c r="I18" s="17" t="str">
        <x:f t="shared" si="3"/>
        <x:v>Review</x:v>
      </x:c>
      <x:c r="J18" s="22" t="str">
        <x:f t="shared" si="4"/>
        <x:v>Check</x:v>
      </x:c>
    </x:row>
    <x:row r="19" ht="14.399999618530273">
      <x:c r="A19" s="19" t="s">
        <x:v>8</x:v>
      </x:c>
      <x:c r="B19" s="19" t="str">
        <x:f t="shared" si="0"/>
        <x:v>Carlos Ruiz</x:v>
      </x:c>
      <x:c r="C19" s="20">
        <x:v>46221</x:v>
      </x:c>
      <x:c r="D19" s="19" t="str">
        <x:v>Personal loan</x:v>
      </x:c>
      <x:c r="E19" s="21">
        <x:v>4048</x:v>
      </x:c>
      <x:c r="F19" s="19" t="str">
        <x:v>REJECTED</x:v>
      </x:c>
      <x:c r="G19" s="17" t="str">
        <x:f t="shared" si="1"/>
        <x:v>REJECTED</x:v>
      </x:c>
      <x:c r="H19" s="18" t="str">
        <x:f t="shared" si="2"/>
        <x:v>Valid</x:v>
      </x:c>
      <x:c r="I19" s="17" t="str">
        <x:f t="shared" si="3"/>
        <x:v>Valid</x:v>
      </x:c>
      <x:c r="J19" s="22" t="str">
        <x:f t="shared" si="4"/>
        <x:v>Correct</x:v>
      </x:c>
    </x:row>
    <x:row r="20" ht="14.399999618530273">
      <x:c r="A20" s="14" t="s">
        <x:v>10</x:v>
      </x:c>
      <x:c r="B20" s="14" t="str">
        <x:f t="shared" si="0"/>
        <x:v>María Torres</x:v>
      </x:c>
      <x:c r="C20" s="15">
        <x:v>46222</x:v>
      </x:c>
      <x:c r="D20" s="14" t="str">
        <x:v>Digital account</x:v>
      </x:c>
      <x:c r="E20" s="16">
        <x:v>4259.75</x:v>
      </x:c>
      <x:c r="F20" s="14" t="str">
        <x:v>Approved</x:v>
      </x:c>
      <x:c r="G20" s="17" t="str">
        <x:f t="shared" si="1"/>
        <x:v>Approved</x:v>
      </x:c>
      <x:c r="H20" s="18" t="str">
        <x:f t="shared" si="2"/>
        <x:v>Valid</x:v>
      </x:c>
      <x:c r="I20" s="17" t="str">
        <x:f t="shared" si="3"/>
        <x:v>Valid</x:v>
      </x:c>
      <x:c r="J20" s="22" t="str">
        <x:f t="shared" si="4"/>
        <x:v>Correct</x:v>
      </x:c>
    </x:row>
    <x:row r="21" ht="14.399999618530273">
      <x:c r="A21" s="19" t="s">
        <x:v>64</x:v>
      </x:c>
      <x:c r="B21" s="19" t="str">
        <x:f t="shared" si="0"/>
        <x:v>José Pérez</x:v>
      </x:c>
      <x:c r="C21" s="20">
        <x:v>46223</x:v>
      </x:c>
      <x:c r="D21" s="19" t="s">
        <x:v>13</x:v>
      </x:c>
      <x:c r="E21" s="21">
        <x:v>271.5</x:v>
      </x:c>
      <x:c r="F21" s="19" t="str">
        <x:v>Approved</x:v>
      </x:c>
      <x:c r="G21" s="17" t="str">
        <x:f t="shared" si="1"/>
        <x:v>Approved</x:v>
      </x:c>
      <x:c r="H21" s="18" t="str">
        <x:f t="shared" si="2"/>
        <x:v>Valid</x:v>
      </x:c>
      <x:c r="I21" s="17" t="str">
        <x:f t="shared" si="3"/>
        <x:v>Valid</x:v>
      </x:c>
      <x:c r="J21" s="22" t="str">
        <x:f t="shared" si="4"/>
        <x:v>Correct</x:v>
      </x:c>
    </x:row>
    <x:row r="22" ht="14.399999618530273">
      <x:c r="A22" s="14" t="s">
        <x:v>15</x:v>
      </x:c>
      <x:c r="B22" s="14" t="str">
        <x:f t="shared" si="0"/>
        <x:v>Laura Díaz</x:v>
      </x:c>
      <x:c r="C22" s="15">
        <x:v>46224</x:v>
      </x:c>
      <x:c r="D22" s="14" t="str">
        <x:v>Credit card</x:v>
      </x:c>
      <x:c r="E22" s="16">
        <x:v>481</x:v>
      </x:c>
      <x:c r="F22" s="14" t="str">
        <x:v>Canceled</x:v>
      </x:c>
      <x:c r="G22" s="17" t="str">
        <x:f t="shared" si="1"/>
        <x:v>Canceled</x:v>
      </x:c>
      <x:c r="H22" s="18" t="str">
        <x:f t="shared" si="2"/>
        <x:v>Valid</x:v>
      </x:c>
      <x:c r="I22" s="17" t="str">
        <x:f t="shared" si="3"/>
        <x:v>Valid</x:v>
      </x:c>
      <x:c r="J22" s="22" t="str">
        <x:f t="shared" si="4"/>
        <x:v>Correct</x:v>
      </x:c>
    </x:row>
    <x:row r="23" ht="14.399999618530273">
      <x:c r="A23" s="19" t="s">
        <x:v>17</x:v>
      </x:c>
      <x:c r="B23" s="19" t="str">
        <x:f t="shared" si="0"/>
        <x:v>Miguel Soto</x:v>
      </x:c>
      <x:c r="C23" s="20">
        <x:v>46225</x:v>
      </x:c>
      <x:c r="D23" s="19" t="str">
        <x:v>Personal loan</x:v>
      </x:c>
      <x:c r="E23" s="21">
        <x:v>692.75</x:v>
      </x:c>
      <x:c r="F23" s="19" t="str">
        <x:v>Pending</x:v>
      </x:c>
      <x:c r="G23" s="17" t="str">
        <x:f t="shared" si="1"/>
        <x:v>Pending</x:v>
      </x:c>
      <x:c r="H23" s="18" t="str">
        <x:f t="shared" si="2"/>
        <x:v>Valid</x:v>
      </x:c>
      <x:c r="I23" s="17" t="str">
        <x:f t="shared" si="3"/>
        <x:v>Valid</x:v>
      </x:c>
      <x:c r="J23" s="22" t="str">
        <x:f t="shared" si="4"/>
        <x:v>Correct</x:v>
      </x:c>
    </x:row>
    <x:row r="24" ht="14.399999618530273">
      <x:c r="A24" s="14" t="s">
        <x:v>19</x:v>
      </x:c>
      <x:c r="B24" s="14" t="str">
        <x:f t="shared" si="0"/>
        <x:v>Sofía Ramos</x:v>
      </x:c>
      <x:c r="C24" s="15">
        <x:v>46226</x:v>
      </x:c>
      <x:c r="D24" s="14" t="str">
        <x:v>Digital account</x:v>
      </x:c>
      <x:c r="E24" s="16">
        <x:v>904.5</x:v>
      </x:c>
      <x:c r="F24" s="14" t="str">
        <x:v>pending</x:v>
      </x:c>
      <x:c r="G24" s="17" t="str">
        <x:f t="shared" si="1"/>
        <x:v>pending</x:v>
      </x:c>
      <x:c r="H24" s="18" t="str">
        <x:f t="shared" si="2"/>
        <x:v>Valid</x:v>
      </x:c>
      <x:c r="I24" s="17" t="str">
        <x:f t="shared" si="3"/>
        <x:v>Valid</x:v>
      </x:c>
      <x:c r="J24" s="22" t="str">
        <x:f t="shared" si="4"/>
        <x:v>Correct</x:v>
      </x:c>
    </x:row>
    <x:row r="25" ht="14.399999618530273">
      <x:c r="A25" s="19" t="s">
        <x:v>21</x:v>
      </x:c>
      <x:c r="B25" s="19" t="str">
        <x:f t="shared" si="0"/>
        <x:v>Daniel Cruz</x:v>
      </x:c>
      <x:c r="C25" s="20">
        <x:v>46227</x:v>
      </x:c>
      <x:c r="D25" s="19" t="s">
        <x:v>13</x:v>
      </x:c>
      <x:c r="E25" s="21">
        <x:v>1114</x:v>
      </x:c>
      <x:c r="F25" s="19" t="str">
        <x:v>Approved</x:v>
      </x:c>
      <x:c r="G25" s="17" t="str">
        <x:f t="shared" si="1"/>
        <x:v>Approved</x:v>
      </x:c>
      <x:c r="H25" s="18" t="str">
        <x:f t="shared" si="2"/>
        <x:v>Valid</x:v>
      </x:c>
      <x:c r="I25" s="17" t="str">
        <x:f t="shared" si="3"/>
        <x:v>Valid</x:v>
      </x:c>
      <x:c r="J25" s="22" t="str">
        <x:f t="shared" si="4"/>
        <x:v>Correct</x:v>
      </x:c>
    </x:row>
    <x:row r="26" ht="14.399999618530273">
      <x:c r="A26" s="14" t="s">
        <x:v>6</x:v>
      </x:c>
      <x:c r="B26" s="14" t="str">
        <x:f t="shared" si="0"/>
        <x:v>Ana López</x:v>
      </x:c>
      <x:c r="C26" s="15">
        <x:v>46228</x:v>
      </x:c>
      <x:c r="D26" s="14" t="str">
        <x:v>Credit card</x:v>
      </x:c>
      <x:c r="E26" s="16">
        <x:v>1325.75</x:v>
      </x:c>
      <x:c r="F26" s="14" t="str">
        <x:v>Rejected</x:v>
      </x:c>
      <x:c r="G26" s="17" t="str">
        <x:f t="shared" si="1"/>
        <x:v>Rejected</x:v>
      </x:c>
      <x:c r="H26" s="18" t="str">
        <x:f t="shared" si="2"/>
        <x:v>Valid</x:v>
      </x:c>
      <x:c r="I26" s="17" t="str">
        <x:f t="shared" si="3"/>
        <x:v>Valid</x:v>
      </x:c>
      <x:c r="J26" s="22" t="str">
        <x:f t="shared" si="4"/>
        <x:v>Correct</x:v>
      </x:c>
    </x:row>
    <x:row r="27" ht="14.399999618530273">
      <x:c r="A27" s="19" t="s">
        <x:v>8</x:v>
      </x:c>
      <x:c r="B27" s="19" t="str">
        <x:f t="shared" si="0"/>
        <x:v>Carlos Ruiz</x:v>
      </x:c>
      <x:c r="C27" s="20">
        <x:v>46204</x:v>
      </x:c>
      <x:c r="D27" s="19" t="str">
        <x:v>Personal loan</x:v>
      </x:c>
      <x:c r="E27" s="21">
        <x:v>1537.5</x:v>
      </x:c>
      <x:c r="F27" s="19" t="str">
        <x:v>REJECTED</x:v>
      </x:c>
      <x:c r="G27" s="17" t="str">
        <x:f t="shared" si="1"/>
        <x:v>REJECTED</x:v>
      </x:c>
      <x:c r="H27" s="18" t="str">
        <x:f t="shared" si="2"/>
        <x:v>Valid</x:v>
      </x:c>
      <x:c r="I27" s="17" t="str">
        <x:f t="shared" si="3"/>
        <x:v>Valid</x:v>
      </x:c>
      <x:c r="J27" s="22" t="str">
        <x:f t="shared" si="4"/>
        <x:v>Correct</x:v>
      </x:c>
    </x:row>
    <x:row r="28" ht="14.399999618530273">
      <x:c r="A28" s="14" t="s">
        <x:v>10</x:v>
      </x:c>
      <x:c r="B28" s="14" t="str">
        <x:f t="shared" si="0"/>
        <x:v>María Torres</x:v>
      </x:c>
      <x:c r="C28" s="15">
        <x:v>46205</x:v>
      </x:c>
      <x:c r="D28" s="14" t="str">
        <x:v>Digital account</x:v>
      </x:c>
      <x:c r="E28" s="16">
        <x:v>1747</x:v>
      </x:c>
      <x:c r="F28" s="14" t="str">
        <x:v>Approved</x:v>
      </x:c>
      <x:c r="G28" s="17" t="str">
        <x:f t="shared" si="1"/>
        <x:v>Approved</x:v>
      </x:c>
      <x:c r="H28" s="18" t="str">
        <x:f t="shared" si="2"/>
        <x:v>Valid</x:v>
      </x:c>
      <x:c r="I28" s="17" t="str">
        <x:f t="shared" si="3"/>
        <x:v>Valid</x:v>
      </x:c>
      <x:c r="J28" s="22" t="str">
        <x:f t="shared" si="4"/>
        <x:v>Correct</x:v>
      </x:c>
    </x:row>
    <x:row r="29" ht="14.399999618530273">
      <x:c r="A29" s="19" t="s">
        <x:v>12</x:v>
      </x:c>
      <x:c r="B29" s="19" t="str">
        <x:f t="shared" si="0"/>
        <x:v>José Pérez</x:v>
      </x:c>
      <x:c r="C29" s="20">
        <x:v>46206</x:v>
      </x:c>
      <x:c r="D29" s="19" t="s">
        <x:v>13</x:v>
      </x:c>
      <x:c r="E29" s="21">
        <x:v>1958.75</x:v>
      </x:c>
      <x:c r="F29" s="19" t="str">
        <x:v>Approved</x:v>
      </x:c>
      <x:c r="G29" s="17" t="str">
        <x:f t="shared" si="1"/>
        <x:v>Approved</x:v>
      </x:c>
      <x:c r="H29" s="18" t="str">
        <x:f t="shared" si="2"/>
        <x:v>Valid</x:v>
      </x:c>
      <x:c r="I29" s="17" t="str">
        <x:f t="shared" si="3"/>
        <x:v>Valid</x:v>
      </x:c>
      <x:c r="J29" s="22" t="str">
        <x:f t="shared" si="4"/>
        <x:v>Correct</x:v>
      </x:c>
    </x:row>
    <x:row r="30" ht="13.800000190734863" customHeight="1">
      <x:c r="A30" s="14" t="s">
        <x:v>15</x:v>
      </x:c>
      <x:c r="B30" s="14" t="str">
        <x:f t="shared" si="0"/>
        <x:v>Laura Díaz</x:v>
      </x:c>
      <x:c r="C30" s="15">
        <x:v>46207</x:v>
      </x:c>
      <x:c r="D30" s="14" t="str">
        <x:v>Credit card</x:v>
      </x:c>
      <x:c r="E30" s="16"/>
      <x:c r="F30" s="14" t="str">
        <x:v>Canceled</x:v>
      </x:c>
      <x:c r="G30" s="17" t="str">
        <x:f t="shared" si="1"/>
        <x:v>Canceled</x:v>
      </x:c>
      <x:c r="H30" s="18" t="str">
        <x:f t="shared" si="2"/>
        <x:v>Valid</x:v>
      </x:c>
      <x:c r="I30" s="17" t="str">
        <x:f t="shared" si="3"/>
        <x:v>Review</x:v>
      </x:c>
      <x:c r="J30" s="22" t="str">
        <x:f t="shared" si="4"/>
        <x:v>Check</x:v>
      </x:c>
    </x:row>
    <x:row r="31" ht="14.399999618530273">
      <x:c r="A31" s="19" t="s">
        <x:v>17</x:v>
      </x:c>
      <x:c r="B31" s="19" t="str">
        <x:f t="shared" si="0"/>
        <x:v>Miguel Soto</x:v>
      </x:c>
      <x:c r="C31" s="20">
        <x:v>46208</x:v>
      </x:c>
      <x:c r="D31" s="19" t="str">
        <x:v>Personal loan</x:v>
      </x:c>
      <x:c r="E31" s="21">
        <x:v>2380</x:v>
      </x:c>
      <x:c r="F31" s="19" t="str">
        <x:v>Pending</x:v>
      </x:c>
      <x:c r="G31" s="17" t="str">
        <x:f t="shared" si="1"/>
        <x:v>Pending</x:v>
      </x:c>
      <x:c r="H31" s="18" t="str">
        <x:f t="shared" si="2"/>
        <x:v>Valid</x:v>
      </x:c>
      <x:c r="I31" s="17" t="str">
        <x:f t="shared" si="3"/>
        <x:v>Valid</x:v>
      </x:c>
      <x:c r="J31" s="22" t="str">
        <x:f t="shared" si="4"/>
        <x:v>Correct</x:v>
      </x:c>
    </x:row>
    <x:row r="32" ht="14.399999618530273">
      <x:c r="A32" s="14" t="s">
        <x:v>19</x:v>
      </x:c>
      <x:c r="B32" s="14" t="str">
        <x:f t="shared" si="0"/>
        <x:v>Sofía Ramos</x:v>
      </x:c>
      <x:c r="C32" s="15">
        <x:v>46209</x:v>
      </x:c>
      <x:c r="D32" s="14" t="str">
        <x:v>Digital account</x:v>
      </x:c>
      <x:c r="E32" s="16">
        <x:v>2591.75</x:v>
      </x:c>
      <x:c r="F32" s="14" t="str">
        <x:v>pending</x:v>
      </x:c>
      <x:c r="G32" s="17" t="str">
        <x:f t="shared" si="1"/>
        <x:v>pending</x:v>
      </x:c>
      <x:c r="H32" s="18" t="str">
        <x:f t="shared" si="2"/>
        <x:v>Valid</x:v>
      </x:c>
      <x:c r="I32" s="17" t="str">
        <x:f t="shared" si="3"/>
        <x:v>Valid</x:v>
      </x:c>
      <x:c r="J32" s="22" t="str">
        <x:f t="shared" si="4"/>
        <x:v>Correct</x:v>
      </x:c>
    </x:row>
    <x:row r="33" ht="14.399999618530273">
      <x:c r="A33" s="19" t="s">
        <x:v>21</x:v>
      </x:c>
      <x:c r="B33" s="19" t="str">
        <x:f t="shared" si="0"/>
        <x:v>Daniel Cruz</x:v>
      </x:c>
      <x:c r="C33" s="20">
        <x:v>46210</x:v>
      </x:c>
      <x:c r="D33" s="19" t="s">
        <x:v>13</x:v>
      </x:c>
      <x:c r="E33" s="21">
        <x:v>2803.5</x:v>
      </x:c>
      <x:c r="F33" s="19" t="str">
        <x:v>Approved</x:v>
      </x:c>
      <x:c r="G33" s="17" t="str">
        <x:f t="shared" si="1"/>
        <x:v>Approved</x:v>
      </x:c>
      <x:c r="H33" s="18" t="str">
        <x:f t="shared" si="2"/>
        <x:v>Valid</x:v>
      </x:c>
      <x:c r="I33" s="17" t="str">
        <x:f t="shared" si="3"/>
        <x:v>Valid</x:v>
      </x:c>
      <x:c r="J33" s="22" t="str">
        <x:f t="shared" si="4"/>
        <x:v>Correct</x:v>
      </x:c>
    </x:row>
    <x:row r="34" ht="14.399999618530273">
      <x:c r="A34" s="14" t="s">
        <x:v>6</x:v>
      </x:c>
      <x:c r="B34" s="14" t="str">
        <x:f t="shared" si="0"/>
        <x:v>Ana López</x:v>
      </x:c>
      <x:c r="C34" s="15">
        <x:v>46211</x:v>
      </x:c>
      <x:c r="D34" s="14" t="str">
        <x:v>Credit card</x:v>
      </x:c>
      <x:c r="E34" s="16">
        <x:v>3013</x:v>
      </x:c>
      <x:c r="F34" s="14" t="str">
        <x:v>Rejected</x:v>
      </x:c>
      <x:c r="G34" s="17" t="str">
        <x:f t="shared" ref="G34:G51" si="5">TRIM(F34)</x:f>
        <x:v>Rejected</x:v>
      </x:c>
      <x:c r="H34" s="18" t="str">
        <x:f t="shared" si="2"/>
        <x:v>Valid</x:v>
      </x:c>
      <x:c r="I34" s="17" t="str">
        <x:f t="shared" ref="I34:I51" si="6">IF(OR(E34="",E34=0),"Review","Valid")</x:f>
        <x:v>Valid</x:v>
      </x:c>
      <x:c r="J34" s="22" t="str">
        <x:f t="shared" ref="J34:J51" si="7">IF(H34&lt;&gt;"Valid","Check",IF(I34&lt;&gt;"Valid","Check","Correct"))</x:f>
        <x:v>Correct</x:v>
      </x:c>
    </x:row>
    <x:row r="35" ht="14.399999618530273">
      <x:c r="A35" s="19" t="s">
        <x:v>8</x:v>
      </x:c>
      <x:c r="B35" s="19" t="str">
        <x:f t="shared" si="0"/>
        <x:v>Carlos Ruiz</x:v>
      </x:c>
      <x:c r="C35" s="20">
        <x:v>46212</x:v>
      </x:c>
      <x:c r="D35" s="19" t="str">
        <x:v>Personal loan</x:v>
      </x:c>
      <x:c r="E35" s="21">
        <x:v>3224.75</x:v>
      </x:c>
      <x:c r="F35" s="19" t="str">
        <x:v>REJECTED</x:v>
      </x:c>
      <x:c r="G35" s="17" t="str">
        <x:f t="shared" si="5"/>
        <x:v>REJECTED</x:v>
      </x:c>
      <x:c r="H35" s="18" t="str">
        <x:f t="shared" si="2"/>
        <x:v>Valid</x:v>
      </x:c>
      <x:c r="I35" s="17" t="str">
        <x:f t="shared" si="6"/>
        <x:v>Valid</x:v>
      </x:c>
      <x:c r="J35" s="22" t="str">
        <x:f t="shared" si="7"/>
        <x:v>Correct</x:v>
      </x:c>
    </x:row>
    <x:row r="36" ht="14.399999618530273">
      <x:c r="A36" s="14" t="s">
        <x:v>10</x:v>
      </x:c>
      <x:c r="B36" s="14" t="str">
        <x:f t="shared" si="0"/>
        <x:v>María Torres</x:v>
      </x:c>
      <x:c r="C36" s="15">
        <x:v>46213</x:v>
      </x:c>
      <x:c r="D36" s="14" t="str">
        <x:v>Digital account</x:v>
      </x:c>
      <x:c r="E36" s="16">
        <x:v>3436.5</x:v>
      </x:c>
      <x:c r="F36" s="14" t="str">
        <x:v>Approved</x:v>
      </x:c>
      <x:c r="G36" s="17" t="str">
        <x:f t="shared" si="5"/>
        <x:v>Approved</x:v>
      </x:c>
      <x:c r="H36" s="18" t="str">
        <x:f t="shared" si="2"/>
        <x:v>Valid</x:v>
      </x:c>
      <x:c r="I36" s="17" t="str">
        <x:f t="shared" si="6"/>
        <x:v>Valid</x:v>
      </x:c>
      <x:c r="J36" s="22" t="str">
        <x:f t="shared" si="7"/>
        <x:v>Correct</x:v>
      </x:c>
    </x:row>
    <x:row r="37" ht="14.399999618530273">
      <x:c r="A37" s="19" t="s">
        <x:v>12</x:v>
      </x:c>
      <x:c r="B37" s="19" t="str">
        <x:f t="shared" si="0"/>
        <x:v>José Pérez</x:v>
      </x:c>
      <x:c r="C37" s="20">
        <x:v>46214</x:v>
      </x:c>
      <x:c r="D37" s="19" t="s">
        <x:v>13</x:v>
      </x:c>
      <x:c r="E37" s="21">
        <x:v>3646</x:v>
      </x:c>
      <x:c r="F37" s="19" t="str">
        <x:v>Approved</x:v>
      </x:c>
      <x:c r="G37" s="17" t="str">
        <x:f t="shared" si="5"/>
        <x:v>Approved</x:v>
      </x:c>
      <x:c r="H37" s="18" t="str">
        <x:f t="shared" si="2"/>
        <x:v>Valid</x:v>
      </x:c>
      <x:c r="I37" s="17" t="str">
        <x:f t="shared" si="6"/>
        <x:v>Valid</x:v>
      </x:c>
      <x:c r="J37" s="22" t="str">
        <x:f t="shared" si="7"/>
        <x:v>Correct</x:v>
      </x:c>
    </x:row>
    <x:row r="38" ht="14.399999618530273">
      <x:c r="A38" s="14" t="s">
        <x:v>15</x:v>
      </x:c>
      <x:c r="B38" s="14" t="str">
        <x:f t="shared" si="0"/>
        <x:v>Laura Díaz</x:v>
      </x:c>
      <x:c r="C38" s="15">
        <x:v>46215</x:v>
      </x:c>
      <x:c r="D38" s="14" t="str">
        <x:v>Credit card</x:v>
      </x:c>
      <x:c r="E38" s="16">
        <x:v>3857.75</x:v>
      </x:c>
      <x:c r="F38" s="14" t="str">
        <x:v>Canceled</x:v>
      </x:c>
      <x:c r="G38" s="17" t="str">
        <x:f t="shared" si="5"/>
        <x:v>Canceled</x:v>
      </x:c>
      <x:c r="H38" s="18" t="str">
        <x:f t="shared" si="2"/>
        <x:v>Valid</x:v>
      </x:c>
      <x:c r="I38" s="17" t="str">
        <x:f t="shared" si="6"/>
        <x:v>Valid</x:v>
      </x:c>
      <x:c r="J38" s="22" t="str">
        <x:f t="shared" si="7"/>
        <x:v>Correct</x:v>
      </x:c>
    </x:row>
    <x:row r="39" ht="14.399999618530273">
      <x:c r="A39" s="19" t="s">
        <x:v>17</x:v>
      </x:c>
      <x:c r="B39" s="19" t="str">
        <x:f t="shared" si="0"/>
        <x:v>Miguel Soto</x:v>
      </x:c>
      <x:c r="C39" s="20">
        <x:v>46216</x:v>
      </x:c>
      <x:c r="D39" s="19" t="str">
        <x:v>Personal loan</x:v>
      </x:c>
      <x:c r="E39" s="21">
        <x:v>4069.5</x:v>
      </x:c>
      <x:c r="F39" s="19" t="str">
        <x:v>Pending</x:v>
      </x:c>
      <x:c r="G39" s="17" t="str">
        <x:f t="shared" si="5"/>
        <x:v>Pending</x:v>
      </x:c>
      <x:c r="H39" s="18" t="str">
        <x:f t="shared" si="2"/>
        <x:v>Valid</x:v>
      </x:c>
      <x:c r="I39" s="17" t="str">
        <x:f t="shared" si="6"/>
        <x:v>Valid</x:v>
      </x:c>
      <x:c r="J39" s="22" t="str">
        <x:f t="shared" si="7"/>
        <x:v>Correct</x:v>
      </x:c>
    </x:row>
    <x:row r="40" ht="14.399999618530273">
      <x:c r="A40" s="14" t="s">
        <x:v>19</x:v>
      </x:c>
      <x:c r="B40" s="14" t="str">
        <x:f t="shared" si="0"/>
        <x:v>Sofía Ramos</x:v>
      </x:c>
      <x:c r="C40" s="15">
        <x:v>46217</x:v>
      </x:c>
      <x:c r="D40" s="14" t="str">
        <x:v>Digital account</x:v>
      </x:c>
      <x:c r="E40" s="16">
        <x:v>4279</x:v>
      </x:c>
      <x:c r="F40" s="14" t="str">
        <x:v>pending</x:v>
      </x:c>
      <x:c r="G40" s="17" t="str">
        <x:f t="shared" si="5"/>
        <x:v>pending</x:v>
      </x:c>
      <x:c r="H40" s="18" t="str">
        <x:f t="shared" si="2"/>
        <x:v>Valid</x:v>
      </x:c>
      <x:c r="I40" s="17" t="str">
        <x:f t="shared" si="6"/>
        <x:v>Valid</x:v>
      </x:c>
      <x:c r="J40" s="22" t="str">
        <x:f t="shared" si="7"/>
        <x:v>Correct</x:v>
      </x:c>
    </x:row>
    <x:row r="41" ht="14.399999618530273">
      <x:c r="A41" s="19" t="s">
        <x:v>21</x:v>
      </x:c>
      <x:c r="B41" s="19" t="str">
        <x:f t="shared" si="0"/>
        <x:v>Daniel Cruz</x:v>
      </x:c>
      <x:c r="C41" s="20">
        <x:v>46218</x:v>
      </x:c>
      <x:c r="D41" s="19" t="s">
        <x:v>13</x:v>
      </x:c>
      <x:c r="E41" s="21">
        <x:v>290.75</x:v>
      </x:c>
      <x:c r="F41" s="19" t="str">
        <x:v>Approved</x:v>
      </x:c>
      <x:c r="G41" s="17" t="str">
        <x:f t="shared" si="5"/>
        <x:v>Approved</x:v>
      </x:c>
      <x:c r="H41" s="18" t="str">
        <x:f t="shared" si="2"/>
        <x:v>Valid</x:v>
      </x:c>
      <x:c r="I41" s="17" t="str">
        <x:f t="shared" si="6"/>
        <x:v>Valid</x:v>
      </x:c>
      <x:c r="J41" s="22" t="str">
        <x:f t="shared" si="7"/>
        <x:v>Correct</x:v>
      </x:c>
    </x:row>
    <x:row r="42" ht="14.399999618530273">
      <x:c r="A42" s="14" t="s">
        <x:v>6</x:v>
      </x:c>
      <x:c r="B42" s="14" t="str">
        <x:f t="shared" si="0"/>
        <x:v>Ana López</x:v>
      </x:c>
      <x:c r="C42" s="15">
        <x:v>46219</x:v>
      </x:c>
      <x:c r="D42" s="14" t="str">
        <x:v>Credit card</x:v>
      </x:c>
      <x:c r="E42" s="16"/>
      <x:c r="F42" s="14" t="str">
        <x:v>Rejected</x:v>
      </x:c>
      <x:c r="G42" s="17" t="str">
        <x:f t="shared" si="5"/>
        <x:v>Rejected</x:v>
      </x:c>
      <x:c r="H42" s="18" t="str">
        <x:f t="shared" si="2"/>
        <x:v>Valid</x:v>
      </x:c>
      <x:c r="I42" s="17" t="str">
        <x:f t="shared" si="6"/>
        <x:v>Review</x:v>
      </x:c>
      <x:c r="J42" s="22" t="str">
        <x:f t="shared" si="7"/>
        <x:v>Check</x:v>
      </x:c>
    </x:row>
    <x:row r="43" ht="14.399999618530273">
      <x:c r="A43" s="19" t="s">
        <x:v>8</x:v>
      </x:c>
      <x:c r="B43" s="19" t="str">
        <x:f t="shared" si="0"/>
        <x:v>Carlos Ruiz</x:v>
      </x:c>
      <x:c r="C43" s="20">
        <x:v>46220</x:v>
      </x:c>
      <x:c r="D43" s="19" t="str">
        <x:v>Personal loan</x:v>
      </x:c>
      <x:c r="E43" s="21">
        <x:v>712</x:v>
      </x:c>
      <x:c r="F43" s="19" t="str">
        <x:v>REJECTED</x:v>
      </x:c>
      <x:c r="G43" s="17" t="str">
        <x:f t="shared" si="5"/>
        <x:v>REJECTED</x:v>
      </x:c>
      <x:c r="H43" s="18" t="str">
        <x:f t="shared" si="2"/>
        <x:v>Valid</x:v>
      </x:c>
      <x:c r="I43" s="17" t="str">
        <x:f t="shared" si="6"/>
        <x:v>Valid</x:v>
      </x:c>
      <x:c r="J43" s="22" t="str">
        <x:f t="shared" si="7"/>
        <x:v>Correct</x:v>
      </x:c>
    </x:row>
    <x:row r="44" ht="14.399999618530273">
      <x:c r="A44" s="14" t="s">
        <x:v>10</x:v>
      </x:c>
      <x:c r="B44" s="14" t="str">
        <x:f t="shared" si="0"/>
        <x:v>María Torres</x:v>
      </x:c>
      <x:c r="C44" s="15">
        <x:v>46221</x:v>
      </x:c>
      <x:c r="D44" s="14" t="str">
        <x:v>Digital account</x:v>
      </x:c>
      <x:c r="E44" s="16">
        <x:v>923.75</x:v>
      </x:c>
      <x:c r="F44" s="14" t="str">
        <x:v>Approved</x:v>
      </x:c>
      <x:c r="G44" s="17" t="str">
        <x:f t="shared" si="5"/>
        <x:v>Approved</x:v>
      </x:c>
      <x:c r="H44" s="18" t="str">
        <x:f t="shared" si="2"/>
        <x:v>Valid</x:v>
      </x:c>
      <x:c r="I44" s="17" t="str">
        <x:f t="shared" si="6"/>
        <x:v>Valid</x:v>
      </x:c>
      <x:c r="J44" s="22" t="str">
        <x:f t="shared" si="7"/>
        <x:v>Correct</x:v>
      </x:c>
    </x:row>
    <x:row r="45" ht="14.399999618530273">
      <x:c r="A45" s="19" t="s">
        <x:v>12</x:v>
      </x:c>
      <x:c r="B45" s="19" t="str">
        <x:f t="shared" si="0"/>
        <x:v>José Pérez</x:v>
      </x:c>
      <x:c r="C45" s="20">
        <x:v>46222</x:v>
      </x:c>
      <x:c r="D45" s="19" t="s">
        <x:v>13</x:v>
      </x:c>
      <x:c r="E45" s="21">
        <x:v>1135.5</x:v>
      </x:c>
      <x:c r="F45" s="19" t="str">
        <x:v>Approved</x:v>
      </x:c>
      <x:c r="G45" s="17" t="str">
        <x:f t="shared" si="5"/>
        <x:v>Approved</x:v>
      </x:c>
      <x:c r="H45" s="18" t="str">
        <x:f t="shared" si="2"/>
        <x:v>Valid</x:v>
      </x:c>
      <x:c r="I45" s="17" t="str">
        <x:f t="shared" si="6"/>
        <x:v>Valid</x:v>
      </x:c>
      <x:c r="J45" s="22" t="str">
        <x:f t="shared" si="7"/>
        <x:v>Correct</x:v>
      </x:c>
    </x:row>
    <x:row r="46" ht="14.399999618530273">
      <x:c r="A46" s="14" t="s">
        <x:v>15</x:v>
      </x:c>
      <x:c r="B46" s="14" t="str">
        <x:f t="shared" si="0"/>
        <x:v>Laura Díaz</x:v>
      </x:c>
      <x:c r="C46" s="15">
        <x:v>46223</x:v>
      </x:c>
      <x:c r="D46" s="14" t="str">
        <x:v>Credit card</x:v>
      </x:c>
      <x:c r="E46" s="16">
        <x:v>1345</x:v>
      </x:c>
      <x:c r="F46" s="14" t="str">
        <x:v>Canceled</x:v>
      </x:c>
      <x:c r="G46" s="17" t="str">
        <x:f t="shared" si="5"/>
        <x:v>Canceled</x:v>
      </x:c>
      <x:c r="H46" s="18" t="str">
        <x:f t="shared" si="2"/>
        <x:v>Valid</x:v>
      </x:c>
      <x:c r="I46" s="17" t="str">
        <x:f t="shared" si="6"/>
        <x:v>Valid</x:v>
      </x:c>
      <x:c r="J46" s="22" t="str">
        <x:f t="shared" si="7"/>
        <x:v>Correct</x:v>
      </x:c>
    </x:row>
    <x:row r="47" ht="14.399999618530273">
      <x:c r="A47" s="19" t="s">
        <x:v>17</x:v>
      </x:c>
      <x:c r="B47" s="19" t="str">
        <x:f t="shared" si="0"/>
        <x:v>Miguel Soto</x:v>
      </x:c>
      <x:c r="C47" s="20">
        <x:v>46224</x:v>
      </x:c>
      <x:c r="D47" s="19" t="str">
        <x:v>Personal loan</x:v>
      </x:c>
      <x:c r="E47" s="21">
        <x:v>1556.75</x:v>
      </x:c>
      <x:c r="F47" s="19" t="str">
        <x:v>Pending</x:v>
      </x:c>
      <x:c r="G47" s="17" t="str">
        <x:f t="shared" si="5"/>
        <x:v>Pending</x:v>
      </x:c>
      <x:c r="H47" s="18" t="str">
        <x:f t="shared" si="2"/>
        <x:v>Valid</x:v>
      </x:c>
      <x:c r="I47" s="17" t="str">
        <x:f t="shared" si="6"/>
        <x:v>Valid</x:v>
      </x:c>
      <x:c r="J47" s="22" t="str">
        <x:f t="shared" si="7"/>
        <x:v>Correct</x:v>
      </x:c>
    </x:row>
    <x:row r="48" ht="14.399999618530273">
      <x:c r="A48" s="14" t="s">
        <x:v>19</x:v>
      </x:c>
      <x:c r="B48" s="14" t="str">
        <x:f t="shared" si="0"/>
        <x:v>Sofía Ramos</x:v>
      </x:c>
      <x:c r="C48" s="15">
        <x:v>46225</x:v>
      </x:c>
      <x:c r="D48" s="14" t="str">
        <x:v>Digital account</x:v>
      </x:c>
      <x:c r="E48" s="16">
        <x:v>1768.5</x:v>
      </x:c>
      <x:c r="F48" s="14" t="str">
        <x:v>pending</x:v>
      </x:c>
      <x:c r="G48" s="17" t="str">
        <x:f t="shared" si="5"/>
        <x:v>pending</x:v>
      </x:c>
      <x:c r="H48" s="18" t="str">
        <x:f t="shared" si="2"/>
        <x:v>Valid</x:v>
      </x:c>
      <x:c r="I48" s="17" t="str">
        <x:f t="shared" si="6"/>
        <x:v>Valid</x:v>
      </x:c>
      <x:c r="J48" s="22" t="str">
        <x:f t="shared" si="7"/>
        <x:v>Correct</x:v>
      </x:c>
    </x:row>
    <x:row r="49" ht="14.399999618530273">
      <x:c r="A49" s="19" t="s">
        <x:v>21</x:v>
      </x:c>
      <x:c r="B49" s="19" t="str">
        <x:f t="shared" si="0"/>
        <x:v>Daniel Cruz</x:v>
      </x:c>
      <x:c r="C49" s="20">
        <x:v>46226</x:v>
      </x:c>
      <x:c r="D49" s="19" t="s">
        <x:v>13</x:v>
      </x:c>
      <x:c r="E49" s="21">
        <x:v>0</x:v>
      </x:c>
      <x:c r="F49" s="19" t="str">
        <x:v>Approved</x:v>
      </x:c>
      <x:c r="G49" s="17" t="str">
        <x:f t="shared" si="5"/>
        <x:v>Approved</x:v>
      </x:c>
      <x:c r="H49" s="18" t="str">
        <x:f t="shared" si="2"/>
        <x:v>Valid</x:v>
      </x:c>
      <x:c r="I49" s="17" t="str">
        <x:f t="shared" si="6"/>
        <x:v>Review</x:v>
      </x:c>
      <x:c r="J49" s="22" t="str">
        <x:f t="shared" si="7"/>
        <x:v>Check</x:v>
      </x:c>
    </x:row>
    <x:row r="50" ht="14.399999618530273">
      <x:c r="A50" s="14" t="s">
        <x:v>6</x:v>
      </x:c>
      <x:c r="B50" s="14" t="str">
        <x:f t="shared" si="0"/>
        <x:v>Ana López</x:v>
      </x:c>
      <x:c r="C50" s="15">
        <x:v>46227</x:v>
      </x:c>
      <x:c r="D50" s="14" t="str">
        <x:v>Credit card</x:v>
      </x:c>
      <x:c r="E50" s="16">
        <x:v>2189.75</x:v>
      </x:c>
      <x:c r="F50" s="14" t="str">
        <x:v>Rejected</x:v>
      </x:c>
      <x:c r="G50" s="17" t="str">
        <x:f t="shared" si="5"/>
        <x:v>Rejected</x:v>
      </x:c>
      <x:c r="H50" s="18" t="str">
        <x:f t="shared" si="2"/>
        <x:v>Valid</x:v>
      </x:c>
      <x:c r="I50" s="17" t="str">
        <x:f t="shared" si="6"/>
        <x:v>Valid</x:v>
      </x:c>
      <x:c r="J50" s="22" t="str">
        <x:f t="shared" si="7"/>
        <x:v>Correct</x:v>
      </x:c>
    </x:row>
    <x:row r="51" ht="14.399999618530273">
      <x:c r="A51" s="24" t="s">
        <x:v>8</x:v>
      </x:c>
      <x:c r="B51" s="24" t="str">
        <x:f t="shared" si="0"/>
        <x:v>Carlos Ruiz</x:v>
      </x:c>
      <x:c r="C51" s="25">
        <x:v>46228</x:v>
      </x:c>
      <x:c r="D51" s="24" t="str">
        <x:v>Personal loan</x:v>
      </x:c>
      <x:c r="E51" s="26">
        <x:v>2401.5</x:v>
      </x:c>
      <x:c r="F51" s="24" t="str">
        <x:v>REJECTED</x:v>
      </x:c>
      <x:c r="G51" s="27" t="str">
        <x:f t="shared" si="5"/>
        <x:v>REJECTED</x:v>
      </x:c>
      <x:c r="H51" s="18" t="str">
        <x:f t="shared" si="2"/>
        <x:v>Valid</x:v>
      </x:c>
      <x:c r="I51" s="27" t="str">
        <x:f t="shared" si="6"/>
        <x:v>Valid</x:v>
      </x:c>
      <x:c r="J51" s="22" t="str">
        <x:f t="shared" si="7"/>
        <x:v>Correct</x:v>
      </x:c>
    </x:row>
  </x:sheetData>
  <x:conditionalFormatting sqref="I2:I51">
    <x:cfRule type="expression" dxfId="18" priority="1">
      <x:formula>I2="Revisar"</x:formula>
    </x:cfRule>
    <x:cfRule type="expression" dxfId="17" priority="2">
      <x:formula>I2="Válido"</x:formula>
    </x:cfRule>
  </x:conditionalFormatting>
  <x:conditionalFormatting sqref="I2:I51">
    <x:cfRule type="expression" dxfId="16" priority="3">
      <x:formula>I2="Revisar"</x:formula>
    </x:cfRule>
    <x:cfRule type="expression" dxfId="15" priority="4">
      <x:formula>I2="Válido"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f416eb4bd74fc9"/>
  </x:tableParts>
</x:worksheet>
</file>

<file path=xl/worksheets/sheet5.xml><?xml version="1.0" encoding="utf-8"?>
<x:worksheet xmlns:x="http://schemas.openxmlformats.org/spreadsheetml/2006/main">
  <x:sheetFormatPr baseColWidth="10" defaultRowHeight="13.800000190734863"/>
  <x:cols>
    <x:col min="1" max="1" width="12.19921875" customWidth="1"/>
    <x:col min="2" max="2" width="17" customWidth="1"/>
    <x:col min="3" max="3" width="17.19921875" customWidth="1"/>
    <x:col min="4" max="4" width="27.5" customWidth="1"/>
    <x:col min="5" max="5" width="73.59765625" customWidth="1"/>
  </x:cols>
  <x:sheetData>
    <x:row r="1" s="38" customFormat="1">
      <x:c r="A1" s="39" t="str">
        <x:v>Source Row</x:v>
      </x:c>
      <x:c r="B1" s="39" t="str">
        <x:v>Finding Type</x:v>
      </x:c>
      <x:c r="C1" s="39" t="str">
        <x:v>Value Found</x:v>
      </x:c>
      <x:c r="D1" s="39" t="str">
        <x:v>Observation</x:v>
      </x:c>
      <x:c r="E1" s="39" t="str">
        <x:v>Recommended_Action</x:v>
      </x:c>
    </x:row>
    <x:row r="2">
      <x:c r="A2" t="str">
        <x:v>Row 9</x:v>
      </x:c>
      <x:c r="B2" t="str">
        <x:v>Zero amount ($0.00)</x:v>
      </x:c>
      <x:c r="C2" s="29">
        <x:v>0</x:v>
      </x:c>
      <x:c r="D2" t="str">
        <x:v>The amount is zero</x:v>
      </x:c>
      <x:c r="E2" t="str">
        <x:v>Confirm whether $0.00 is valid for this transaction</x:v>
      </x:c>
    </x:row>
    <x:row r="3">
      <x:c r="A3" t="str">
        <x:v>Row 18</x:v>
      </x:c>
      <x:c r="B3" t="str">
        <x:v>Missing amount</x:v>
      </x:c>
      <x:c r="C3" t="str">
        <x:v>Blank</x:v>
      </x:c>
      <x:c r="D3" t="str">
        <x:v>The amount was not provided</x:v>
      </x:c>
      <x:c r="E3" t="str">
        <x:v>Ask the client for the missing amount or confirm that the field should remain blank</x:v>
      </x:c>
    </x:row>
    <x:row r="4">
      <x:c r="A4" t="str">
        <x:v>Row 30</x:v>
      </x:c>
      <x:c r="B4" t="str">
        <x:v>Missing amount</x:v>
      </x:c>
      <x:c r="C4" t="str">
        <x:v>Blank</x:v>
      </x:c>
      <x:c r="D4" t="str">
        <x:v>The amount was not provided</x:v>
      </x:c>
      <x:c r="E4" t="str">
        <x:v>Ask the client for the missing amount or confirm that the field should remain blank</x:v>
      </x:c>
    </x:row>
    <x:row r="5">
      <x:c r="A5" t="str">
        <x:v>Row 42</x:v>
      </x:c>
      <x:c r="B5" t="str">
        <x:v>Missing amount</x:v>
      </x:c>
      <x:c r="C5" t="str">
        <x:v>Blank</x:v>
      </x:c>
      <x:c r="D5" t="str">
        <x:v>The amount was not provided</x:v>
      </x:c>
      <x:c r="E5" t="str">
        <x:v>Ask the client for the missing amount or confirm that the field should remain blank</x:v>
      </x:c>
    </x:row>
    <x:row r="6">
      <x:c r="A6" t="str">
        <x:v>Row 49</x:v>
      </x:c>
      <x:c r="B6" t="str">
        <x:v>Zero amount ($0.00)</x:v>
      </x:c>
      <x:c r="C6" s="29">
        <x:v>0</x:v>
      </x:c>
      <x:c r="D6" t="str">
        <x:v>The amount is zero</x:v>
      </x:c>
      <x:c r="E6" t="str">
        <x:v>Confirm whether $0.00 is valid for this transaction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796875" defaultRowHeight="13.800000190734863"/>
  <x:cols>
    <x:col min="1" max="1" width="22" customWidth="1"/>
    <x:col min="2" max="2" width="78" customWidth="1"/>
    <x:col min="3" max="3" width="20" customWidth="1"/>
    <x:col min="4" max="4" width="18" customWidth="1"/>
  </x:cols>
  <x:sheetData>
    <x:row r="1" ht="17.399999618530273">
      <x:c r="A1" s="36" t="str">
        <x:v>Solution — Review After Trying</x:v>
      </x:c>
      <x:c r="B1" s="36"/>
      <x:c r="C1" s="36"/>
      <x:c r="D1" s="36"/>
    </x:row>
    <x:row r="3">
      <x:c r="A3" s="6" t="str">
        <x:v>Location</x:v>
      </x:c>
      <x:c r="B3" s="6" t="str">
        <x:v>Formula</x:v>
      </x:c>
      <x:c r="C3" s="6" t="str">
        <x:v>Purpose</x:v>
      </x:c>
      <x:c r="D3" s="6" t="str">
        <x:v>Action</x:v>
      </x:c>
    </x:row>
    <x:row r="4">
      <x:c r="A4" s="4" t="s">
        <x:v>65</x:v>
      </x:c>
      <x:c r="B4" s="37" t="str">
        <x:f>TRIM(A2)</x:f>
      </x:c>
      <x:c r="C4" s="4" t="str">
        <x:v>Name cleaning</x:v>
      </x:c>
      <x:c r="D4" s="4" t="str">
        <x:v>Copy down to B51</x:v>
      </x:c>
    </x:row>
    <x:row r="5">
      <x:c r="A5" s="4" t="s">
        <x:v>66</x:v>
      </x:c>
      <x:c r="B5" s="37" t="str">
        <x:f>TRIM(F2)</x:f>
      </x:c>
      <x:c r="C5" s="4" t="str">
        <x:v>Status cleaning</x:v>
      </x:c>
      <x:c r="D5" s="4" t="str">
        <x:v>Copy down to G51</x:v>
      </x:c>
    </x:row>
    <x:row r="6">
      <x:c r="A6" s="4" t="s">
        <x:v>67</x:v>
      </x:c>
      <x:c r="B6" s="37" t="str">
        <x:f>IF(OR(G2="Approved",G2="Pending",G2="Rejected",G2="Canceled"),"Valid","Review")</x:f>
        <x:v>Review</x:v>
      </x:c>
      <x:c r="C6" s="4" t="str">
        <x:v>Status validation</x:v>
      </x:c>
      <x:c r="D6" s="4" t="str">
        <x:v>Copy down to H51</x:v>
      </x:c>
    </x:row>
    <x:row r="7">
      <x:c r="A7" s="4" t="s">
        <x:v>68</x:v>
      </x:c>
      <x:c r="B7" s="37" t="str">
        <x:f>IF(OR(E2="",E2&lt;=0),"Review","Valid")</x:f>
        <x:v>Review</x:v>
      </x:c>
      <x:c r="C7" s="4" t="str">
        <x:v>Amount validation</x:v>
      </x:c>
      <x:c r="D7" s="4" t="str">
        <x:v>Copy down to I51</x:v>
      </x:c>
    </x:row>
    <x:row r="8">
      <x:c r="A8" s="4" t="s">
        <x:v>69</x:v>
      </x:c>
      <x:c r="B8" s="37" t="n">
        <x:f>COUNTIF(Payments_50_Cleaned!H2:H51,"Valid")</x:f>
        <x:v>0</x:v>
      </x:c>
      <x:c r="C8" s="4" t="str">
        <x:v>Summary</x:v>
      </x:c>
      <x:c r="D8" s="4" t="str">
        <x:v>Single formula</x:v>
      </x:c>
    </x:row>
    <x:row r="9">
      <x:c r="A9" s="4" t="s">
        <x:v>70</x:v>
      </x:c>
      <x:c r="B9" s="37" t="n">
        <x:f>COUNTIF(Payments_50_Cleaned!H2:H51,"Review")</x:f>
        <x:v>0</x:v>
      </x:c>
      <x:c r="C9" s="4" t="str">
        <x:v>Summary</x:v>
      </x:c>
      <x:c r="D9" s="4" t="str">
        <x:v>Single formula</x:v>
      </x:c>
    </x:row>
    <x:row r="10">
      <x:c r="A10" s="4" t="s">
        <x:v>71</x:v>
      </x:c>
      <x:c r="B10" s="37" t="n">
        <x:f>COUNTIF(Payments_50_Cleaned!I2:I51,"Valid")</x:f>
        <x:v>0</x:v>
      </x:c>
      <x:c r="C10" s="4" t="str">
        <x:v>Summary</x:v>
      </x:c>
      <x:c r="D10" s="4" t="str">
        <x:v>Single formula</x:v>
      </x:c>
    </x:row>
    <x:row r="11">
      <x:c r="A11" s="4" t="s">
        <x:v>72</x:v>
      </x:c>
      <x:c r="B11" s="37" t="n">
        <x:f>COUNTIF(Payments_50_Cleaned!I2:I51,"Review")</x:f>
        <x:v>0</x:v>
      </x:c>
      <x:c r="C11" s="4" t="str">
        <x:v>Summary</x:v>
      </x:c>
      <x:c r="D11" s="4" t="str">
        <x:v>Single formula</x:v>
      </x:c>
    </x:row>
    <x:row r="12">
      <x:c r="A12" s="4" t="s">
        <x:v>73</x:v>
      </x:c>
      <x:c r="B12" s="37" t="n">
        <x:f>COUNTIF(Payments_50_Cleaned!G2:G51,"Canceled")</x:f>
        <x:v>0</x:v>
      </x:c>
      <x:c r="C12" s="4" t="str">
        <x:v>Summary</x:v>
      </x:c>
      <x:c r="D12" s="4" t="str">
        <x:v>Single formula</x:v>
      </x:c>
    </x:row>
  </x:sheetData>
  <x:mergeCells>
    <x:mergeCell ref="A1:D1"/>
  </x:mergeCells>
  <x:pageMargins left="0.7" right="0.7" top="0.75" bottom="0.75" header="0.3" footer="0.3"/>
</x:worksheet>
</file>